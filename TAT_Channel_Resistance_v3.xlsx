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lculator" sheetId="2" state="visible" r:id="rId4"/>
    <sheet name="Lookup Table" sheetId="3" state="visible" r:id="rId5"/>
    <sheet name="Cha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<sst xmlns="http://schemas.openxmlformats.org/spreadsheetml/2006/main" count="919" uniqueCount="872">
  <si>
    <t xml:space="preserve">TAT Channel – programmable resistance</t>
  </si>
  <si>
    <t xml:space="preserve">Measured between TAT_INPUT_1 and TAT_INPUT_3 (TAT_INPUT_2 is the same node as TAT_INPUT_3). Ideal 0 Ω relay contacts.</t>
  </si>
  <si>
    <t xml:space="preserve">Resistor values (yellow = editable)</t>
  </si>
  <si>
    <t xml:space="preserve">Series resistor at TAT_L1 (always in path)</t>
  </si>
  <si>
    <t xml:space="preserve">High-res schematic</t>
  </si>
  <si>
    <t xml:space="preserve">R4 tap resistor (between R4-1 and R4-2)</t>
  </si>
  <si>
    <t xml:space="preserve">R3 ladder resistor (7 in row)</t>
  </si>
  <si>
    <t xml:space="preserve">Schematic</t>
  </si>
  <si>
    <t xml:space="preserve">R2 ladder resistor (7 in row)</t>
  </si>
  <si>
    <t xml:space="preserve">R1 ladder resistor (7 in row)</t>
  </si>
  <si>
    <t xml:space="preserve">Results</t>
  </si>
  <si>
    <t xml:space="preserve">Minimum resistance</t>
  </si>
  <si>
    <t xml:space="preserve">R4-2, R3-1, R2-1, R1-1 closed (only the fixed 30 Ω remains)</t>
  </si>
  <si>
    <t xml:space="preserve">Maximum resistance</t>
  </si>
  <si>
    <t xml:space="preserve">Only R4-1, R3-8, R2-8, R1-8 closed</t>
  </si>
  <si>
    <t xml:space="preserve">Step (resolution)</t>
  </si>
  <si>
    <t xml:space="preserve">Set by the R1 row</t>
  </si>
  <si>
    <t xml:space="preserve">Span (max − min)</t>
  </si>
  <si>
    <t xml:space="preserve">Number of steps</t>
  </si>
  <si>
    <t xml:space="preserve">Distinct resistance values</t>
  </si>
  <si>
    <t xml:space="preserve">Settings in Lookup Table</t>
  </si>
  <si>
    <t xml:space="preserve">Should equal the row above</t>
  </si>
  <si>
    <t xml:space="preserve">Gap check</t>
  </si>
  <si>
    <t xml:space="preserve">Contribution of each row</t>
  </si>
  <si>
    <t xml:space="preserve">Row</t>
  </si>
  <si>
    <t xml:space="preserve">Relays</t>
  </si>
  <si>
    <t xml:space="preserve">Adds (min)</t>
  </si>
  <si>
    <t xml:space="preserve">Adds (max)</t>
  </si>
  <si>
    <t xml:space="preserve">Step in row</t>
  </si>
  <si>
    <t xml:space="preserve">Fixed 30 Ω</t>
  </si>
  <si>
    <t xml:space="preserve">–</t>
  </si>
  <si>
    <t xml:space="preserve">R4</t>
  </si>
  <si>
    <t xml:space="preserve">R4-1, R4-2</t>
  </si>
  <si>
    <t xml:space="preserve">R3</t>
  </si>
  <si>
    <t xml:space="preserve">R3-1 … R3-8</t>
  </si>
  <si>
    <t xml:space="preserve">R2</t>
  </si>
  <si>
    <t xml:space="preserve">R2-1 … R2-8</t>
  </si>
  <si>
    <t xml:space="preserve">R1</t>
  </si>
  <si>
    <t xml:space="preserve">R1-1 … R1-8</t>
  </si>
  <si>
    <t xml:space="preserve">Total</t>
  </si>
  <si>
    <t xml:space="preserve">R4 row truth table (the row that is easiest to misread)</t>
  </si>
  <si>
    <t xml:space="preserve">R4-1</t>
  </si>
  <si>
    <t xml:space="preserve">R4-2</t>
  </si>
  <si>
    <t xml:space="preserve">R4 adds</t>
  </si>
  <si>
    <t xml:space="preserve">What happens</t>
  </si>
  <si>
    <t xml:space="preserve">Open circuit – nothing connects the 30 Ω resistor to the R3 row</t>
  </si>
  <si>
    <t xml:space="preserve">Current goes through the 32 Ω tap, then down R4-1</t>
  </si>
  <si>
    <t xml:space="preserve">R4-2 connects straight past the 32 Ω – it is bypassed</t>
  </si>
  <si>
    <t xml:space="preserve">Still bypassed – R4-2 shorts the 32 Ω, so R4-1 carries no current</t>
  </si>
  <si>
    <t xml:space="preserve">To add the 32 Ω you must close R4-1 AND open R4-2. Opening R4-2 alone (with R4-1 open) breaks the circuit.</t>
  </si>
  <si>
    <t xml:space="preserve">How the circuit works</t>
  </si>
  <si>
    <t xml:space="preserve">• Each R1/R2/R3 row is a tap ladder: 7 resistors on the top rail and 8 normally-open relays, each connecting one node down to a common bottom rail.</t>
  </si>
  <si>
    <t xml:space="preserve">• Current enters a row at the left node. Closing relay Rx-k adds (k − 1) × the row resistor. If several relays in a row are closed, only the leftmost closed one matters.</t>
  </si>
  <si>
    <t xml:space="preserve">• If any row has no relay closed, the channel is open. With every relay off (power-up / reset), the channel is open.</t>
  </si>
  <si>
    <t xml:space="preserve">• Total R = 30 + {0 or 32} + 8·a + 1·b + 0.125·c, where a, b, c = 0…7 (position of the leftmost closed relay minus 1).</t>
  </si>
  <si>
    <t xml:space="preserve">• R3 + R2 + R1 cover 0 … 63.875 Ω. The 32 Ω tap shifts that to 32 … 95.875 Ω. The two ranges overlap, so 30 … 125.875 Ω is continuous in 0.125 Ω steps.</t>
  </si>
  <si>
    <t xml:space="preserve">• Lookup Table closes one relay per row. Where a value can be reached with or without the 32 Ω tap, it uses R4-2 (tap bypassed).</t>
  </si>
  <si>
    <t xml:space="preserve">Relay calculator</t>
  </si>
  <si>
    <t xml:space="preserve">Type 1 (closed) or 0 (open) in the yellow cells. Each row shows which relay is carrying current and what it adds.</t>
  </si>
  <si>
    <t xml:space="preserve">Carrying current</t>
  </si>
  <si>
    <t xml:space="preserve">Adds</t>
  </si>
  <si>
    <t xml:space="preserve">Status</t>
  </si>
  <si>
    <t xml:space="preserve">state</t>
  </si>
  <si>
    <t xml:space="preserve">R3-1</t>
  </si>
  <si>
    <t xml:space="preserve">R3-2</t>
  </si>
  <si>
    <t xml:space="preserve">R3-3</t>
  </si>
  <si>
    <t xml:space="preserve">R3-4</t>
  </si>
  <si>
    <t xml:space="preserve">R3-5</t>
  </si>
  <si>
    <t xml:space="preserve">R3-6</t>
  </si>
  <si>
    <t xml:space="preserve">R3-7</t>
  </si>
  <si>
    <t xml:space="preserve">R3-8</t>
  </si>
  <si>
    <t xml:space="preserve">R2-1</t>
  </si>
  <si>
    <t xml:space="preserve">R2-2</t>
  </si>
  <si>
    <t xml:space="preserve">R2-3</t>
  </si>
  <si>
    <t xml:space="preserve">R2-4</t>
  </si>
  <si>
    <t xml:space="preserve">R2-5</t>
  </si>
  <si>
    <t xml:space="preserve">R2-6</t>
  </si>
  <si>
    <t xml:space="preserve">R2-7</t>
  </si>
  <si>
    <t xml:space="preserve">R2-8</t>
  </si>
  <si>
    <t xml:space="preserve">R1-1</t>
  </si>
  <si>
    <t xml:space="preserve">R1-2</t>
  </si>
  <si>
    <t xml:space="preserve">R1-3</t>
  </si>
  <si>
    <t xml:space="preserve">R1-4</t>
  </si>
  <si>
    <t xml:space="preserve">R1-5</t>
  </si>
  <si>
    <t xml:space="preserve">R1-6</t>
  </si>
  <si>
    <t xml:space="preserve">R1-7</t>
  </si>
  <si>
    <t xml:space="preserve">R1-8</t>
  </si>
  <si>
    <t xml:space="preserve">Fixed</t>
  </si>
  <si>
    <t xml:space="preserve">30 Ω at TAT_L1</t>
  </si>
  <si>
    <t xml:space="preserve">Always in path</t>
  </si>
  <si>
    <t xml:space="preserve">Total INPUT_1 ↔ INPUT_3</t>
  </si>
  <si>
    <t xml:space="preserve">Example loaded: R4-2, R3-4, R2-6, R1-3 closed → 30 + 0 + 24 + 5 + 0.25 = 59.25 Ω</t>
  </si>
  <si>
    <t xml:space="preserve">Find the setting for a target</t>
  </si>
  <si>
    <t xml:space="preserve">Target resistance</t>
  </si>
  <si>
    <t xml:space="preserve">Step index (0 = minimum)</t>
  </si>
  <si>
    <t xml:space="preserve">Nearest achievable</t>
  </si>
  <si>
    <t xml:space="preserve">Error</t>
  </si>
  <si>
    <t xml:space="preserve">Close these relays (all others open)</t>
  </si>
  <si>
    <t xml:space="preserve">Range check</t>
  </si>
  <si>
    <t xml:space="preserve">All 768 settings (one closed relay per row, 1 = closed). Resistance is calculated from the relay bits and Summary values.</t>
  </si>
  <si>
    <t xml:space="preserve">Step</t>
  </si>
  <si>
    <t xml:space="preserve">Resistance</t>
  </si>
  <si>
    <t xml:space="preserve">Close these relays</t>
  </si>
  <si>
    <t xml:space="preserve">Δ to previous</t>
  </si>
  <si>
    <t xml:space="preserve">R4-2, R3-1, R2-1, R1-1</t>
  </si>
  <si>
    <t xml:space="preserve">R4-2, R3-1, R2-1, R1-2</t>
  </si>
  <si>
    <t xml:space="preserve">R4-2, R3-1, R2-1, R1-3</t>
  </si>
  <si>
    <t xml:space="preserve">R4-2, R3-1, R2-1, R1-4</t>
  </si>
  <si>
    <t xml:space="preserve">R4-2, R3-1, R2-1, R1-5</t>
  </si>
  <si>
    <t xml:space="preserve">R4-2, R3-1, R2-1, R1-6</t>
  </si>
  <si>
    <t xml:space="preserve">R4-2, R3-1, R2-1, R1-7</t>
  </si>
  <si>
    <t xml:space="preserve">R4-2, R3-1, R2-1, R1-8</t>
  </si>
  <si>
    <t xml:space="preserve">R4-2, R3-1, R2-2, R1-1</t>
  </si>
  <si>
    <t xml:space="preserve">R4-2, R3-1, R2-2, R1-2</t>
  </si>
  <si>
    <t xml:space="preserve">R4-2, R3-1, R2-2, R1-3</t>
  </si>
  <si>
    <t xml:space="preserve">R4-2, R3-1, R2-2, R1-4</t>
  </si>
  <si>
    <t xml:space="preserve">R4-2, R3-1, R2-2, R1-5</t>
  </si>
  <si>
    <t xml:space="preserve">R4-2, R3-1, R2-2, R1-6</t>
  </si>
  <si>
    <t xml:space="preserve">R4-2, R3-1, R2-2, R1-7</t>
  </si>
  <si>
    <t xml:space="preserve">R4-2, R3-1, R2-2, R1-8</t>
  </si>
  <si>
    <t xml:space="preserve">R4-2, R3-1, R2-3, R1-1</t>
  </si>
  <si>
    <t xml:space="preserve">R4-2, R3-1, R2-3, R1-2</t>
  </si>
  <si>
    <t xml:space="preserve">R4-2, R3-1, R2-3, R1-3</t>
  </si>
  <si>
    <t xml:space="preserve">R4-2, R3-1, R2-3, R1-4</t>
  </si>
  <si>
    <t xml:space="preserve">R4-2, R3-1, R2-3, R1-5</t>
  </si>
  <si>
    <t xml:space="preserve">R4-2, R3-1, R2-3, R1-6</t>
  </si>
  <si>
    <t xml:space="preserve">R4-2, R3-1, R2-3, R1-7</t>
  </si>
  <si>
    <t xml:space="preserve">R4-2, R3-1, R2-3, R1-8</t>
  </si>
  <si>
    <t xml:space="preserve">R4-2, R3-1, R2-4, R1-1</t>
  </si>
  <si>
    <t xml:space="preserve">R4-2, R3-1, R2-4, R1-2</t>
  </si>
  <si>
    <t xml:space="preserve">R4-2, R3-1, R2-4, R1-3</t>
  </si>
  <si>
    <t xml:space="preserve">R4-2, R3-1, R2-4, R1-4</t>
  </si>
  <si>
    <t xml:space="preserve">R4-2, R3-1, R2-4, R1-5</t>
  </si>
  <si>
    <t xml:space="preserve">R4-2, R3-1, R2-4, R1-6</t>
  </si>
  <si>
    <t xml:space="preserve">R4-2, R3-1, R2-4, R1-7</t>
  </si>
  <si>
    <t xml:space="preserve">R4-2, R3-1, R2-4, R1-8</t>
  </si>
  <si>
    <t xml:space="preserve">R4-2, R3-1, R2-5, R1-1</t>
  </si>
  <si>
    <t xml:space="preserve">R4-2, R3-1, R2-5, R1-2</t>
  </si>
  <si>
    <t xml:space="preserve">R4-2, R3-1, R2-5, R1-3</t>
  </si>
  <si>
    <t xml:space="preserve">R4-2, R3-1, R2-5, R1-4</t>
  </si>
  <si>
    <t xml:space="preserve">R4-2, R3-1, R2-5, R1-5</t>
  </si>
  <si>
    <t xml:space="preserve">R4-2, R3-1, R2-5, R1-6</t>
  </si>
  <si>
    <t xml:space="preserve">R4-2, R3-1, R2-5, R1-7</t>
  </si>
  <si>
    <t xml:space="preserve">R4-2, R3-1, R2-5, R1-8</t>
  </si>
  <si>
    <t xml:space="preserve">R4-2, R3-1, R2-6, R1-1</t>
  </si>
  <si>
    <t xml:space="preserve">R4-2, R3-1, R2-6, R1-2</t>
  </si>
  <si>
    <t xml:space="preserve">R4-2, R3-1, R2-6, R1-3</t>
  </si>
  <si>
    <t xml:space="preserve">R4-2, R3-1, R2-6, R1-4</t>
  </si>
  <si>
    <t xml:space="preserve">R4-2, R3-1, R2-6, R1-5</t>
  </si>
  <si>
    <t xml:space="preserve">R4-2, R3-1, R2-6, R1-6</t>
  </si>
  <si>
    <t xml:space="preserve">R4-2, R3-1, R2-6, R1-7</t>
  </si>
  <si>
    <t xml:space="preserve">R4-2, R3-1, R2-6, R1-8</t>
  </si>
  <si>
    <t xml:space="preserve">R4-2, R3-1, R2-7, R1-1</t>
  </si>
  <si>
    <t xml:space="preserve">R4-2, R3-1, R2-7, R1-2</t>
  </si>
  <si>
    <t xml:space="preserve">R4-2, R3-1, R2-7, R1-3</t>
  </si>
  <si>
    <t xml:space="preserve">R4-2, R3-1, R2-7, R1-4</t>
  </si>
  <si>
    <t xml:space="preserve">R4-2, R3-1, R2-7, R1-5</t>
  </si>
  <si>
    <t xml:space="preserve">R4-2, R3-1, R2-7, R1-6</t>
  </si>
  <si>
    <t xml:space="preserve">R4-2, R3-1, R2-7, R1-7</t>
  </si>
  <si>
    <t xml:space="preserve">R4-2, R3-1, R2-7, R1-8</t>
  </si>
  <si>
    <t xml:space="preserve">R4-2, R3-1, R2-8, R1-1</t>
  </si>
  <si>
    <t xml:space="preserve">R4-2, R3-1, R2-8, R1-2</t>
  </si>
  <si>
    <t xml:space="preserve">R4-2, R3-1, R2-8, R1-3</t>
  </si>
  <si>
    <t xml:space="preserve">R4-2, R3-1, R2-8, R1-4</t>
  </si>
  <si>
    <t xml:space="preserve">R4-2, R3-1, R2-8, R1-5</t>
  </si>
  <si>
    <t xml:space="preserve">R4-2, R3-1, R2-8, R1-6</t>
  </si>
  <si>
    <t xml:space="preserve">R4-2, R3-1, R2-8, R1-7</t>
  </si>
  <si>
    <t xml:space="preserve">R4-2, R3-1, R2-8, R1-8</t>
  </si>
  <si>
    <t xml:space="preserve">R4-2, R3-2, R2-1, R1-1</t>
  </si>
  <si>
    <t xml:space="preserve">R4-2, R3-2, R2-1, R1-2</t>
  </si>
  <si>
    <t xml:space="preserve">R4-2, R3-2, R2-1, R1-3</t>
  </si>
  <si>
    <t xml:space="preserve">R4-2, R3-2, R2-1, R1-4</t>
  </si>
  <si>
    <t xml:space="preserve">R4-2, R3-2, R2-1, R1-5</t>
  </si>
  <si>
    <t xml:space="preserve">R4-2, R3-2, R2-1, R1-6</t>
  </si>
  <si>
    <t xml:space="preserve">R4-2, R3-2, R2-1, R1-7</t>
  </si>
  <si>
    <t xml:space="preserve">R4-2, R3-2, R2-1, R1-8</t>
  </si>
  <si>
    <t xml:space="preserve">R4-2, R3-2, R2-2, R1-1</t>
  </si>
  <si>
    <t xml:space="preserve">R4-2, R3-2, R2-2, R1-2</t>
  </si>
  <si>
    <t xml:space="preserve">R4-2, R3-2, R2-2, R1-3</t>
  </si>
  <si>
    <t xml:space="preserve">R4-2, R3-2, R2-2, R1-4</t>
  </si>
  <si>
    <t xml:space="preserve">R4-2, R3-2, R2-2, R1-5</t>
  </si>
  <si>
    <t xml:space="preserve">R4-2, R3-2, R2-2, R1-6</t>
  </si>
  <si>
    <t xml:space="preserve">R4-2, R3-2, R2-2, R1-7</t>
  </si>
  <si>
    <t xml:space="preserve">R4-2, R3-2, R2-2, R1-8</t>
  </si>
  <si>
    <t xml:space="preserve">R4-2, R3-2, R2-3, R1-1</t>
  </si>
  <si>
    <t xml:space="preserve">R4-2, R3-2, R2-3, R1-2</t>
  </si>
  <si>
    <t xml:space="preserve">R4-2, R3-2, R2-3, R1-3</t>
  </si>
  <si>
    <t xml:space="preserve">R4-2, R3-2, R2-3, R1-4</t>
  </si>
  <si>
    <t xml:space="preserve">R4-2, R3-2, R2-3, R1-5</t>
  </si>
  <si>
    <t xml:space="preserve">R4-2, R3-2, R2-3, R1-6</t>
  </si>
  <si>
    <t xml:space="preserve">R4-2, R3-2, R2-3, R1-7</t>
  </si>
  <si>
    <t xml:space="preserve">R4-2, R3-2, R2-3, R1-8</t>
  </si>
  <si>
    <t xml:space="preserve">R4-2, R3-2, R2-4, R1-1</t>
  </si>
  <si>
    <t xml:space="preserve">R4-2, R3-2, R2-4, R1-2</t>
  </si>
  <si>
    <t xml:space="preserve">R4-2, R3-2, R2-4, R1-3</t>
  </si>
  <si>
    <t xml:space="preserve">R4-2, R3-2, R2-4, R1-4</t>
  </si>
  <si>
    <t xml:space="preserve">R4-2, R3-2, R2-4, R1-5</t>
  </si>
  <si>
    <t xml:space="preserve">R4-2, R3-2, R2-4, R1-6</t>
  </si>
  <si>
    <t xml:space="preserve">R4-2, R3-2, R2-4, R1-7</t>
  </si>
  <si>
    <t xml:space="preserve">R4-2, R3-2, R2-4, R1-8</t>
  </si>
  <si>
    <t xml:space="preserve">R4-2, R3-2, R2-5, R1-1</t>
  </si>
  <si>
    <t xml:space="preserve">R4-2, R3-2, R2-5, R1-2</t>
  </si>
  <si>
    <t xml:space="preserve">R4-2, R3-2, R2-5, R1-3</t>
  </si>
  <si>
    <t xml:space="preserve">R4-2, R3-2, R2-5, R1-4</t>
  </si>
  <si>
    <t xml:space="preserve">R4-2, R3-2, R2-5, R1-5</t>
  </si>
  <si>
    <t xml:space="preserve">R4-2, R3-2, R2-5, R1-6</t>
  </si>
  <si>
    <t xml:space="preserve">R4-2, R3-2, R2-5, R1-7</t>
  </si>
  <si>
    <t xml:space="preserve">R4-2, R3-2, R2-5, R1-8</t>
  </si>
  <si>
    <t xml:space="preserve">R4-2, R3-2, R2-6, R1-1</t>
  </si>
  <si>
    <t xml:space="preserve">R4-2, R3-2, R2-6, R1-2</t>
  </si>
  <si>
    <t xml:space="preserve">R4-2, R3-2, R2-6, R1-3</t>
  </si>
  <si>
    <t xml:space="preserve">R4-2, R3-2, R2-6, R1-4</t>
  </si>
  <si>
    <t xml:space="preserve">R4-2, R3-2, R2-6, R1-5</t>
  </si>
  <si>
    <t xml:space="preserve">R4-2, R3-2, R2-6, R1-6</t>
  </si>
  <si>
    <t xml:space="preserve">R4-2, R3-2, R2-6, R1-7</t>
  </si>
  <si>
    <t xml:space="preserve">R4-2, R3-2, R2-6, R1-8</t>
  </si>
  <si>
    <t xml:space="preserve">R4-2, R3-2, R2-7, R1-1</t>
  </si>
  <si>
    <t xml:space="preserve">R4-2, R3-2, R2-7, R1-2</t>
  </si>
  <si>
    <t xml:space="preserve">R4-2, R3-2, R2-7, R1-3</t>
  </si>
  <si>
    <t xml:space="preserve">R4-2, R3-2, R2-7, R1-4</t>
  </si>
  <si>
    <t xml:space="preserve">R4-2, R3-2, R2-7, R1-5</t>
  </si>
  <si>
    <t xml:space="preserve">R4-2, R3-2, R2-7, R1-6</t>
  </si>
  <si>
    <t xml:space="preserve">R4-2, R3-2, R2-7, R1-7</t>
  </si>
  <si>
    <t xml:space="preserve">R4-2, R3-2, R2-7, R1-8</t>
  </si>
  <si>
    <t xml:space="preserve">R4-2, R3-2, R2-8, R1-1</t>
  </si>
  <si>
    <t xml:space="preserve">R4-2, R3-2, R2-8, R1-2</t>
  </si>
  <si>
    <t xml:space="preserve">R4-2, R3-2, R2-8, R1-3</t>
  </si>
  <si>
    <t xml:space="preserve">R4-2, R3-2, R2-8, R1-4</t>
  </si>
  <si>
    <t xml:space="preserve">R4-2, R3-2, R2-8, R1-5</t>
  </si>
  <si>
    <t xml:space="preserve">R4-2, R3-2, R2-8, R1-6</t>
  </si>
  <si>
    <t xml:space="preserve">R4-2, R3-2, R2-8, R1-7</t>
  </si>
  <si>
    <t xml:space="preserve">R4-2, R3-2, R2-8, R1-8</t>
  </si>
  <si>
    <t xml:space="preserve">R4-2, R3-3, R2-1, R1-1</t>
  </si>
  <si>
    <t xml:space="preserve">R4-2, R3-3, R2-1, R1-2</t>
  </si>
  <si>
    <t xml:space="preserve">R4-2, R3-3, R2-1, R1-3</t>
  </si>
  <si>
    <t xml:space="preserve">R4-2, R3-3, R2-1, R1-4</t>
  </si>
  <si>
    <t xml:space="preserve">R4-2, R3-3, R2-1, R1-5</t>
  </si>
  <si>
    <t xml:space="preserve">R4-2, R3-3, R2-1, R1-6</t>
  </si>
  <si>
    <t xml:space="preserve">R4-2, R3-3, R2-1, R1-7</t>
  </si>
  <si>
    <t xml:space="preserve">R4-2, R3-3, R2-1, R1-8</t>
  </si>
  <si>
    <t xml:space="preserve">R4-2, R3-3, R2-2, R1-1</t>
  </si>
  <si>
    <t xml:space="preserve">R4-2, R3-3, R2-2, R1-2</t>
  </si>
  <si>
    <t xml:space="preserve">R4-2, R3-3, R2-2, R1-3</t>
  </si>
  <si>
    <t xml:space="preserve">R4-2, R3-3, R2-2, R1-4</t>
  </si>
  <si>
    <t xml:space="preserve">R4-2, R3-3, R2-2, R1-5</t>
  </si>
  <si>
    <t xml:space="preserve">R4-2, R3-3, R2-2, R1-6</t>
  </si>
  <si>
    <t xml:space="preserve">R4-2, R3-3, R2-2, R1-7</t>
  </si>
  <si>
    <t xml:space="preserve">R4-2, R3-3, R2-2, R1-8</t>
  </si>
  <si>
    <t xml:space="preserve">R4-2, R3-3, R2-3, R1-1</t>
  </si>
  <si>
    <t xml:space="preserve">R4-2, R3-3, R2-3, R1-2</t>
  </si>
  <si>
    <t xml:space="preserve">R4-2, R3-3, R2-3, R1-3</t>
  </si>
  <si>
    <t xml:space="preserve">R4-2, R3-3, R2-3, R1-4</t>
  </si>
  <si>
    <t xml:space="preserve">R4-2, R3-3, R2-3, R1-5</t>
  </si>
  <si>
    <t xml:space="preserve">R4-2, R3-3, R2-3, R1-6</t>
  </si>
  <si>
    <t xml:space="preserve">R4-2, R3-3, R2-3, R1-7</t>
  </si>
  <si>
    <t xml:space="preserve">R4-2, R3-3, R2-3, R1-8</t>
  </si>
  <si>
    <t xml:space="preserve">R4-2, R3-3, R2-4, R1-1</t>
  </si>
  <si>
    <t xml:space="preserve">R4-2, R3-3, R2-4, R1-2</t>
  </si>
  <si>
    <t xml:space="preserve">R4-2, R3-3, R2-4, R1-3</t>
  </si>
  <si>
    <t xml:space="preserve">R4-2, R3-3, R2-4, R1-4</t>
  </si>
  <si>
    <t xml:space="preserve">R4-2, R3-3, R2-4, R1-5</t>
  </si>
  <si>
    <t xml:space="preserve">R4-2, R3-3, R2-4, R1-6</t>
  </si>
  <si>
    <t xml:space="preserve">R4-2, R3-3, R2-4, R1-7</t>
  </si>
  <si>
    <t xml:space="preserve">R4-2, R3-3, R2-4, R1-8</t>
  </si>
  <si>
    <t xml:space="preserve">R4-2, R3-3, R2-5, R1-1</t>
  </si>
  <si>
    <t xml:space="preserve">R4-2, R3-3, R2-5, R1-2</t>
  </si>
  <si>
    <t xml:space="preserve">R4-2, R3-3, R2-5, R1-3</t>
  </si>
  <si>
    <t xml:space="preserve">R4-2, R3-3, R2-5, R1-4</t>
  </si>
  <si>
    <t xml:space="preserve">R4-2, R3-3, R2-5, R1-5</t>
  </si>
  <si>
    <t xml:space="preserve">R4-2, R3-3, R2-5, R1-6</t>
  </si>
  <si>
    <t xml:space="preserve">R4-2, R3-3, R2-5, R1-7</t>
  </si>
  <si>
    <t xml:space="preserve">R4-2, R3-3, R2-5, R1-8</t>
  </si>
  <si>
    <t xml:space="preserve">R4-2, R3-3, R2-6, R1-1</t>
  </si>
  <si>
    <t xml:space="preserve">R4-2, R3-3, R2-6, R1-2</t>
  </si>
  <si>
    <t xml:space="preserve">R4-2, R3-3, R2-6, R1-3</t>
  </si>
  <si>
    <t xml:space="preserve">R4-2, R3-3, R2-6, R1-4</t>
  </si>
  <si>
    <t xml:space="preserve">R4-2, R3-3, R2-6, R1-5</t>
  </si>
  <si>
    <t xml:space="preserve">R4-2, R3-3, R2-6, R1-6</t>
  </si>
  <si>
    <t xml:space="preserve">R4-2, R3-3, R2-6, R1-7</t>
  </si>
  <si>
    <t xml:space="preserve">R4-2, R3-3, R2-6, R1-8</t>
  </si>
  <si>
    <t xml:space="preserve">R4-2, R3-3, R2-7, R1-1</t>
  </si>
  <si>
    <t xml:space="preserve">R4-2, R3-3, R2-7, R1-2</t>
  </si>
  <si>
    <t xml:space="preserve">R4-2, R3-3, R2-7, R1-3</t>
  </si>
  <si>
    <t xml:space="preserve">R4-2, R3-3, R2-7, R1-4</t>
  </si>
  <si>
    <t xml:space="preserve">R4-2, R3-3, R2-7, R1-5</t>
  </si>
  <si>
    <t xml:space="preserve">R4-2, R3-3, R2-7, R1-6</t>
  </si>
  <si>
    <t xml:space="preserve">R4-2, R3-3, R2-7, R1-7</t>
  </si>
  <si>
    <t xml:space="preserve">R4-2, R3-3, R2-7, R1-8</t>
  </si>
  <si>
    <t xml:space="preserve">R4-2, R3-3, R2-8, R1-1</t>
  </si>
  <si>
    <t xml:space="preserve">R4-2, R3-3, R2-8, R1-2</t>
  </si>
  <si>
    <t xml:space="preserve">R4-2, R3-3, R2-8, R1-3</t>
  </si>
  <si>
    <t xml:space="preserve">R4-2, R3-3, R2-8, R1-4</t>
  </si>
  <si>
    <t xml:space="preserve">R4-2, R3-3, R2-8, R1-5</t>
  </si>
  <si>
    <t xml:space="preserve">R4-2, R3-3, R2-8, R1-6</t>
  </si>
  <si>
    <t xml:space="preserve">R4-2, R3-3, R2-8, R1-7</t>
  </si>
  <si>
    <t xml:space="preserve">R4-2, R3-3, R2-8, R1-8</t>
  </si>
  <si>
    <t xml:space="preserve">R4-2, R3-4, R2-1, R1-1</t>
  </si>
  <si>
    <t xml:space="preserve">R4-2, R3-4, R2-1, R1-2</t>
  </si>
  <si>
    <t xml:space="preserve">R4-2, R3-4, R2-1, R1-3</t>
  </si>
  <si>
    <t xml:space="preserve">R4-2, R3-4, R2-1, R1-4</t>
  </si>
  <si>
    <t xml:space="preserve">R4-2, R3-4, R2-1, R1-5</t>
  </si>
  <si>
    <t xml:space="preserve">R4-2, R3-4, R2-1, R1-6</t>
  </si>
  <si>
    <t xml:space="preserve">R4-2, R3-4, R2-1, R1-7</t>
  </si>
  <si>
    <t xml:space="preserve">R4-2, R3-4, R2-1, R1-8</t>
  </si>
  <si>
    <t xml:space="preserve">R4-2, R3-4, R2-2, R1-1</t>
  </si>
  <si>
    <t xml:space="preserve">R4-2, R3-4, R2-2, R1-2</t>
  </si>
  <si>
    <t xml:space="preserve">R4-2, R3-4, R2-2, R1-3</t>
  </si>
  <si>
    <t xml:space="preserve">R4-2, R3-4, R2-2, R1-4</t>
  </si>
  <si>
    <t xml:space="preserve">R4-2, R3-4, R2-2, R1-5</t>
  </si>
  <si>
    <t xml:space="preserve">R4-2, R3-4, R2-2, R1-6</t>
  </si>
  <si>
    <t xml:space="preserve">R4-2, R3-4, R2-2, R1-7</t>
  </si>
  <si>
    <t xml:space="preserve">R4-2, R3-4, R2-2, R1-8</t>
  </si>
  <si>
    <t xml:space="preserve">R4-2, R3-4, R2-3, R1-1</t>
  </si>
  <si>
    <t xml:space="preserve">R4-2, R3-4, R2-3, R1-2</t>
  </si>
  <si>
    <t xml:space="preserve">R4-2, R3-4, R2-3, R1-3</t>
  </si>
  <si>
    <t xml:space="preserve">R4-2, R3-4, R2-3, R1-4</t>
  </si>
  <si>
    <t xml:space="preserve">R4-2, R3-4, R2-3, R1-5</t>
  </si>
  <si>
    <t xml:space="preserve">R4-2, R3-4, R2-3, R1-6</t>
  </si>
  <si>
    <t xml:space="preserve">R4-2, R3-4, R2-3, R1-7</t>
  </si>
  <si>
    <t xml:space="preserve">R4-2, R3-4, R2-3, R1-8</t>
  </si>
  <si>
    <t xml:space="preserve">R4-2, R3-4, R2-4, R1-1</t>
  </si>
  <si>
    <t xml:space="preserve">R4-2, R3-4, R2-4, R1-2</t>
  </si>
  <si>
    <t xml:space="preserve">R4-2, R3-4, R2-4, R1-3</t>
  </si>
  <si>
    <t xml:space="preserve">R4-2, R3-4, R2-4, R1-4</t>
  </si>
  <si>
    <t xml:space="preserve">R4-2, R3-4, R2-4, R1-5</t>
  </si>
  <si>
    <t xml:space="preserve">R4-2, R3-4, R2-4, R1-6</t>
  </si>
  <si>
    <t xml:space="preserve">R4-2, R3-4, R2-4, R1-7</t>
  </si>
  <si>
    <t xml:space="preserve">R4-2, R3-4, R2-4, R1-8</t>
  </si>
  <si>
    <t xml:space="preserve">R4-2, R3-4, R2-5, R1-1</t>
  </si>
  <si>
    <t xml:space="preserve">R4-2, R3-4, R2-5, R1-2</t>
  </si>
  <si>
    <t xml:space="preserve">R4-2, R3-4, R2-5, R1-3</t>
  </si>
  <si>
    <t xml:space="preserve">R4-2, R3-4, R2-5, R1-4</t>
  </si>
  <si>
    <t xml:space="preserve">R4-2, R3-4, R2-5, R1-5</t>
  </si>
  <si>
    <t xml:space="preserve">R4-2, R3-4, R2-5, R1-6</t>
  </si>
  <si>
    <t xml:space="preserve">R4-2, R3-4, R2-5, R1-7</t>
  </si>
  <si>
    <t xml:space="preserve">R4-2, R3-4, R2-5, R1-8</t>
  </si>
  <si>
    <t xml:space="preserve">R4-2, R3-4, R2-6, R1-1</t>
  </si>
  <si>
    <t xml:space="preserve">R4-2, R3-4, R2-6, R1-2</t>
  </si>
  <si>
    <t xml:space="preserve">R4-2, R3-4, R2-6, R1-3</t>
  </si>
  <si>
    <t xml:space="preserve">R4-2, R3-4, R2-6, R1-4</t>
  </si>
  <si>
    <t xml:space="preserve">R4-2, R3-4, R2-6, R1-5</t>
  </si>
  <si>
    <t xml:space="preserve">R4-2, R3-4, R2-6, R1-6</t>
  </si>
  <si>
    <t xml:space="preserve">R4-2, R3-4, R2-6, R1-7</t>
  </si>
  <si>
    <t xml:space="preserve">R4-2, R3-4, R2-6, R1-8</t>
  </si>
  <si>
    <t xml:space="preserve">R4-2, R3-4, R2-7, R1-1</t>
  </si>
  <si>
    <t xml:space="preserve">R4-2, R3-4, R2-7, R1-2</t>
  </si>
  <si>
    <t xml:space="preserve">R4-2, R3-4, R2-7, R1-3</t>
  </si>
  <si>
    <t xml:space="preserve">R4-2, R3-4, R2-7, R1-4</t>
  </si>
  <si>
    <t xml:space="preserve">R4-2, R3-4, R2-7, R1-5</t>
  </si>
  <si>
    <t xml:space="preserve">R4-2, R3-4, R2-7, R1-6</t>
  </si>
  <si>
    <t xml:space="preserve">R4-2, R3-4, R2-7, R1-7</t>
  </si>
  <si>
    <t xml:space="preserve">R4-2, R3-4, R2-7, R1-8</t>
  </si>
  <si>
    <t xml:space="preserve">R4-2, R3-4, R2-8, R1-1</t>
  </si>
  <si>
    <t xml:space="preserve">R4-2, R3-4, R2-8, R1-2</t>
  </si>
  <si>
    <t xml:space="preserve">R4-2, R3-4, R2-8, R1-3</t>
  </si>
  <si>
    <t xml:space="preserve">R4-2, R3-4, R2-8, R1-4</t>
  </si>
  <si>
    <t xml:space="preserve">R4-2, R3-4, R2-8, R1-5</t>
  </si>
  <si>
    <t xml:space="preserve">R4-2, R3-4, R2-8, R1-6</t>
  </si>
  <si>
    <t xml:space="preserve">R4-2, R3-4, R2-8, R1-7</t>
  </si>
  <si>
    <t xml:space="preserve">R4-2, R3-4, R2-8, R1-8</t>
  </si>
  <si>
    <t xml:space="preserve">R4-2, R3-5, R2-1, R1-1</t>
  </si>
  <si>
    <t xml:space="preserve">R4-2, R3-5, R2-1, R1-2</t>
  </si>
  <si>
    <t xml:space="preserve">R4-2, R3-5, R2-1, R1-3</t>
  </si>
  <si>
    <t xml:space="preserve">R4-2, R3-5, R2-1, R1-4</t>
  </si>
  <si>
    <t xml:space="preserve">R4-2, R3-5, R2-1, R1-5</t>
  </si>
  <si>
    <t xml:space="preserve">R4-2, R3-5, R2-1, R1-6</t>
  </si>
  <si>
    <t xml:space="preserve">R4-2, R3-5, R2-1, R1-7</t>
  </si>
  <si>
    <t xml:space="preserve">R4-2, R3-5, R2-1, R1-8</t>
  </si>
  <si>
    <t xml:space="preserve">R4-2, R3-5, R2-2, R1-1</t>
  </si>
  <si>
    <t xml:space="preserve">R4-2, R3-5, R2-2, R1-2</t>
  </si>
  <si>
    <t xml:space="preserve">R4-2, R3-5, R2-2, R1-3</t>
  </si>
  <si>
    <t xml:space="preserve">R4-2, R3-5, R2-2, R1-4</t>
  </si>
  <si>
    <t xml:space="preserve">R4-2, R3-5, R2-2, R1-5</t>
  </si>
  <si>
    <t xml:space="preserve">R4-2, R3-5, R2-2, R1-6</t>
  </si>
  <si>
    <t xml:space="preserve">R4-2, R3-5, R2-2, R1-7</t>
  </si>
  <si>
    <t xml:space="preserve">R4-2, R3-5, R2-2, R1-8</t>
  </si>
  <si>
    <t xml:space="preserve">R4-2, R3-5, R2-3, R1-1</t>
  </si>
  <si>
    <t xml:space="preserve">R4-2, R3-5, R2-3, R1-2</t>
  </si>
  <si>
    <t xml:space="preserve">R4-2, R3-5, R2-3, R1-3</t>
  </si>
  <si>
    <t xml:space="preserve">R4-2, R3-5, R2-3, R1-4</t>
  </si>
  <si>
    <t xml:space="preserve">R4-2, R3-5, R2-3, R1-5</t>
  </si>
  <si>
    <t xml:space="preserve">R4-2, R3-5, R2-3, R1-6</t>
  </si>
  <si>
    <t xml:space="preserve">R4-2, R3-5, R2-3, R1-7</t>
  </si>
  <si>
    <t xml:space="preserve">R4-2, R3-5, R2-3, R1-8</t>
  </si>
  <si>
    <t xml:space="preserve">R4-2, R3-5, R2-4, R1-1</t>
  </si>
  <si>
    <t xml:space="preserve">R4-2, R3-5, R2-4, R1-2</t>
  </si>
  <si>
    <t xml:space="preserve">R4-2, R3-5, R2-4, R1-3</t>
  </si>
  <si>
    <t xml:space="preserve">R4-2, R3-5, R2-4, R1-4</t>
  </si>
  <si>
    <t xml:space="preserve">R4-2, R3-5, R2-4, R1-5</t>
  </si>
  <si>
    <t xml:space="preserve">R4-2, R3-5, R2-4, R1-6</t>
  </si>
  <si>
    <t xml:space="preserve">R4-2, R3-5, R2-4, R1-7</t>
  </si>
  <si>
    <t xml:space="preserve">R4-2, R3-5, R2-4, R1-8</t>
  </si>
  <si>
    <t xml:space="preserve">R4-2, R3-5, R2-5, R1-1</t>
  </si>
  <si>
    <t xml:space="preserve">R4-2, R3-5, R2-5, R1-2</t>
  </si>
  <si>
    <t xml:space="preserve">R4-2, R3-5, R2-5, R1-3</t>
  </si>
  <si>
    <t xml:space="preserve">R4-2, R3-5, R2-5, R1-4</t>
  </si>
  <si>
    <t xml:space="preserve">R4-2, R3-5, R2-5, R1-5</t>
  </si>
  <si>
    <t xml:space="preserve">R4-2, R3-5, R2-5, R1-6</t>
  </si>
  <si>
    <t xml:space="preserve">R4-2, R3-5, R2-5, R1-7</t>
  </si>
  <si>
    <t xml:space="preserve">R4-2, R3-5, R2-5, R1-8</t>
  </si>
  <si>
    <t xml:space="preserve">R4-2, R3-5, R2-6, R1-1</t>
  </si>
  <si>
    <t xml:space="preserve">R4-2, R3-5, R2-6, R1-2</t>
  </si>
  <si>
    <t xml:space="preserve">R4-2, R3-5, R2-6, R1-3</t>
  </si>
  <si>
    <t xml:space="preserve">R4-2, R3-5, R2-6, R1-4</t>
  </si>
  <si>
    <t xml:space="preserve">R4-2, R3-5, R2-6, R1-5</t>
  </si>
  <si>
    <t xml:space="preserve">R4-2, R3-5, R2-6, R1-6</t>
  </si>
  <si>
    <t xml:space="preserve">R4-2, R3-5, R2-6, R1-7</t>
  </si>
  <si>
    <t xml:space="preserve">R4-2, R3-5, R2-6, R1-8</t>
  </si>
  <si>
    <t xml:space="preserve">R4-2, R3-5, R2-7, R1-1</t>
  </si>
  <si>
    <t xml:space="preserve">R4-2, R3-5, R2-7, R1-2</t>
  </si>
  <si>
    <t xml:space="preserve">R4-2, R3-5, R2-7, R1-3</t>
  </si>
  <si>
    <t xml:space="preserve">R4-2, R3-5, R2-7, R1-4</t>
  </si>
  <si>
    <t xml:space="preserve">R4-2, R3-5, R2-7, R1-5</t>
  </si>
  <si>
    <t xml:space="preserve">R4-2, R3-5, R2-7, R1-6</t>
  </si>
  <si>
    <t xml:space="preserve">R4-2, R3-5, R2-7, R1-7</t>
  </si>
  <si>
    <t xml:space="preserve">R4-2, R3-5, R2-7, R1-8</t>
  </si>
  <si>
    <t xml:space="preserve">R4-2, R3-5, R2-8, R1-1</t>
  </si>
  <si>
    <t xml:space="preserve">R4-2, R3-5, R2-8, R1-2</t>
  </si>
  <si>
    <t xml:space="preserve">R4-2, R3-5, R2-8, R1-3</t>
  </si>
  <si>
    <t xml:space="preserve">R4-2, R3-5, R2-8, R1-4</t>
  </si>
  <si>
    <t xml:space="preserve">R4-2, R3-5, R2-8, R1-5</t>
  </si>
  <si>
    <t xml:space="preserve">R4-2, R3-5, R2-8, R1-6</t>
  </si>
  <si>
    <t xml:space="preserve">R4-2, R3-5, R2-8, R1-7</t>
  </si>
  <si>
    <t xml:space="preserve">R4-2, R3-5, R2-8, R1-8</t>
  </si>
  <si>
    <t xml:space="preserve">R4-2, R3-6, R2-1, R1-1</t>
  </si>
  <si>
    <t xml:space="preserve">R4-2, R3-6, R2-1, R1-2</t>
  </si>
  <si>
    <t xml:space="preserve">R4-2, R3-6, R2-1, R1-3</t>
  </si>
  <si>
    <t xml:space="preserve">R4-2, R3-6, R2-1, R1-4</t>
  </si>
  <si>
    <t xml:space="preserve">R4-2, R3-6, R2-1, R1-5</t>
  </si>
  <si>
    <t xml:space="preserve">R4-2, R3-6, R2-1, R1-6</t>
  </si>
  <si>
    <t xml:space="preserve">R4-2, R3-6, R2-1, R1-7</t>
  </si>
  <si>
    <t xml:space="preserve">R4-2, R3-6, R2-1, R1-8</t>
  </si>
  <si>
    <t xml:space="preserve">R4-2, R3-6, R2-2, R1-1</t>
  </si>
  <si>
    <t xml:space="preserve">R4-2, R3-6, R2-2, R1-2</t>
  </si>
  <si>
    <t xml:space="preserve">R4-2, R3-6, R2-2, R1-3</t>
  </si>
  <si>
    <t xml:space="preserve">R4-2, R3-6, R2-2, R1-4</t>
  </si>
  <si>
    <t xml:space="preserve">R4-2, R3-6, R2-2, R1-5</t>
  </si>
  <si>
    <t xml:space="preserve">R4-2, R3-6, R2-2, R1-6</t>
  </si>
  <si>
    <t xml:space="preserve">R4-2, R3-6, R2-2, R1-7</t>
  </si>
  <si>
    <t xml:space="preserve">R4-2, R3-6, R2-2, R1-8</t>
  </si>
  <si>
    <t xml:space="preserve">R4-2, R3-6, R2-3, R1-1</t>
  </si>
  <si>
    <t xml:space="preserve">R4-2, R3-6, R2-3, R1-2</t>
  </si>
  <si>
    <t xml:space="preserve">R4-2, R3-6, R2-3, R1-3</t>
  </si>
  <si>
    <t xml:space="preserve">R4-2, R3-6, R2-3, R1-4</t>
  </si>
  <si>
    <t xml:space="preserve">R4-2, R3-6, R2-3, R1-5</t>
  </si>
  <si>
    <t xml:space="preserve">R4-2, R3-6, R2-3, R1-6</t>
  </si>
  <si>
    <t xml:space="preserve">R4-2, R3-6, R2-3, R1-7</t>
  </si>
  <si>
    <t xml:space="preserve">R4-2, R3-6, R2-3, R1-8</t>
  </si>
  <si>
    <t xml:space="preserve">R4-2, R3-6, R2-4, R1-1</t>
  </si>
  <si>
    <t xml:space="preserve">R4-2, R3-6, R2-4, R1-2</t>
  </si>
  <si>
    <t xml:space="preserve">R4-2, R3-6, R2-4, R1-3</t>
  </si>
  <si>
    <t xml:space="preserve">R4-2, R3-6, R2-4, R1-4</t>
  </si>
  <si>
    <t xml:space="preserve">R4-2, R3-6, R2-4, R1-5</t>
  </si>
  <si>
    <t xml:space="preserve">R4-2, R3-6, R2-4, R1-6</t>
  </si>
  <si>
    <t xml:space="preserve">R4-2, R3-6, R2-4, R1-7</t>
  </si>
  <si>
    <t xml:space="preserve">R4-2, R3-6, R2-4, R1-8</t>
  </si>
  <si>
    <t xml:space="preserve">R4-2, R3-6, R2-5, R1-1</t>
  </si>
  <si>
    <t xml:space="preserve">R4-2, R3-6, R2-5, R1-2</t>
  </si>
  <si>
    <t xml:space="preserve">R4-2, R3-6, R2-5, R1-3</t>
  </si>
  <si>
    <t xml:space="preserve">R4-2, R3-6, R2-5, R1-4</t>
  </si>
  <si>
    <t xml:space="preserve">R4-2, R3-6, R2-5, R1-5</t>
  </si>
  <si>
    <t xml:space="preserve">R4-2, R3-6, R2-5, R1-6</t>
  </si>
  <si>
    <t xml:space="preserve">R4-2, R3-6, R2-5, R1-7</t>
  </si>
  <si>
    <t xml:space="preserve">R4-2, R3-6, R2-5, R1-8</t>
  </si>
  <si>
    <t xml:space="preserve">R4-2, R3-6, R2-6, R1-1</t>
  </si>
  <si>
    <t xml:space="preserve">R4-2, R3-6, R2-6, R1-2</t>
  </si>
  <si>
    <t xml:space="preserve">R4-2, R3-6, R2-6, R1-3</t>
  </si>
  <si>
    <t xml:space="preserve">R4-2, R3-6, R2-6, R1-4</t>
  </si>
  <si>
    <t xml:space="preserve">R4-2, R3-6, R2-6, R1-5</t>
  </si>
  <si>
    <t xml:space="preserve">R4-2, R3-6, R2-6, R1-6</t>
  </si>
  <si>
    <t xml:space="preserve">R4-2, R3-6, R2-6, R1-7</t>
  </si>
  <si>
    <t xml:space="preserve">R4-2, R3-6, R2-6, R1-8</t>
  </si>
  <si>
    <t xml:space="preserve">R4-2, R3-6, R2-7, R1-1</t>
  </si>
  <si>
    <t xml:space="preserve">R4-2, R3-6, R2-7, R1-2</t>
  </si>
  <si>
    <t xml:space="preserve">R4-2, R3-6, R2-7, R1-3</t>
  </si>
  <si>
    <t xml:space="preserve">R4-2, R3-6, R2-7, R1-4</t>
  </si>
  <si>
    <t xml:space="preserve">R4-2, R3-6, R2-7, R1-5</t>
  </si>
  <si>
    <t xml:space="preserve">R4-2, R3-6, R2-7, R1-6</t>
  </si>
  <si>
    <t xml:space="preserve">R4-2, R3-6, R2-7, R1-7</t>
  </si>
  <si>
    <t xml:space="preserve">R4-2, R3-6, R2-7, R1-8</t>
  </si>
  <si>
    <t xml:space="preserve">R4-2, R3-6, R2-8, R1-1</t>
  </si>
  <si>
    <t xml:space="preserve">R4-2, R3-6, R2-8, R1-2</t>
  </si>
  <si>
    <t xml:space="preserve">R4-2, R3-6, R2-8, R1-3</t>
  </si>
  <si>
    <t xml:space="preserve">R4-2, R3-6, R2-8, R1-4</t>
  </si>
  <si>
    <t xml:space="preserve">R4-2, R3-6, R2-8, R1-5</t>
  </si>
  <si>
    <t xml:space="preserve">R4-2, R3-6, R2-8, R1-6</t>
  </si>
  <si>
    <t xml:space="preserve">R4-2, R3-6, R2-8, R1-7</t>
  </si>
  <si>
    <t xml:space="preserve">R4-2, R3-6, R2-8, R1-8</t>
  </si>
  <si>
    <t xml:space="preserve">R4-2, R3-7, R2-1, R1-1</t>
  </si>
  <si>
    <t xml:space="preserve">R4-2, R3-7, R2-1, R1-2</t>
  </si>
  <si>
    <t xml:space="preserve">R4-2, R3-7, R2-1, R1-3</t>
  </si>
  <si>
    <t xml:space="preserve">R4-2, R3-7, R2-1, R1-4</t>
  </si>
  <si>
    <t xml:space="preserve">R4-2, R3-7, R2-1, R1-5</t>
  </si>
  <si>
    <t xml:space="preserve">R4-2, R3-7, R2-1, R1-6</t>
  </si>
  <si>
    <t xml:space="preserve">R4-2, R3-7, R2-1, R1-7</t>
  </si>
  <si>
    <t xml:space="preserve">R4-2, R3-7, R2-1, R1-8</t>
  </si>
  <si>
    <t xml:space="preserve">R4-2, R3-7, R2-2, R1-1</t>
  </si>
  <si>
    <t xml:space="preserve">R4-2, R3-7, R2-2, R1-2</t>
  </si>
  <si>
    <t xml:space="preserve">R4-2, R3-7, R2-2, R1-3</t>
  </si>
  <si>
    <t xml:space="preserve">R4-2, R3-7, R2-2, R1-4</t>
  </si>
  <si>
    <t xml:space="preserve">R4-2, R3-7, R2-2, R1-5</t>
  </si>
  <si>
    <t xml:space="preserve">R4-2, R3-7, R2-2, R1-6</t>
  </si>
  <si>
    <t xml:space="preserve">R4-2, R3-7, R2-2, R1-7</t>
  </si>
  <si>
    <t xml:space="preserve">R4-2, R3-7, R2-2, R1-8</t>
  </si>
  <si>
    <t xml:space="preserve">R4-2, R3-7, R2-3, R1-1</t>
  </si>
  <si>
    <t xml:space="preserve">R4-2, R3-7, R2-3, R1-2</t>
  </si>
  <si>
    <t xml:space="preserve">R4-2, R3-7, R2-3, R1-3</t>
  </si>
  <si>
    <t xml:space="preserve">R4-2, R3-7, R2-3, R1-4</t>
  </si>
  <si>
    <t xml:space="preserve">R4-2, R3-7, R2-3, R1-5</t>
  </si>
  <si>
    <t xml:space="preserve">R4-2, R3-7, R2-3, R1-6</t>
  </si>
  <si>
    <t xml:space="preserve">R4-2, R3-7, R2-3, R1-7</t>
  </si>
  <si>
    <t xml:space="preserve">R4-2, R3-7, R2-3, R1-8</t>
  </si>
  <si>
    <t xml:space="preserve">R4-2, R3-7, R2-4, R1-1</t>
  </si>
  <si>
    <t xml:space="preserve">R4-2, R3-7, R2-4, R1-2</t>
  </si>
  <si>
    <t xml:space="preserve">R4-2, R3-7, R2-4, R1-3</t>
  </si>
  <si>
    <t xml:space="preserve">R4-2, R3-7, R2-4, R1-4</t>
  </si>
  <si>
    <t xml:space="preserve">R4-2, R3-7, R2-4, R1-5</t>
  </si>
  <si>
    <t xml:space="preserve">R4-2, R3-7, R2-4, R1-6</t>
  </si>
  <si>
    <t xml:space="preserve">R4-2, R3-7, R2-4, R1-7</t>
  </si>
  <si>
    <t xml:space="preserve">R4-2, R3-7, R2-4, R1-8</t>
  </si>
  <si>
    <t xml:space="preserve">R4-2, R3-7, R2-5, R1-1</t>
  </si>
  <si>
    <t xml:space="preserve">R4-2, R3-7, R2-5, R1-2</t>
  </si>
  <si>
    <t xml:space="preserve">R4-2, R3-7, R2-5, R1-3</t>
  </si>
  <si>
    <t xml:space="preserve">R4-2, R3-7, R2-5, R1-4</t>
  </si>
  <si>
    <t xml:space="preserve">R4-2, R3-7, R2-5, R1-5</t>
  </si>
  <si>
    <t xml:space="preserve">R4-2, R3-7, R2-5, R1-6</t>
  </si>
  <si>
    <t xml:space="preserve">R4-2, R3-7, R2-5, R1-7</t>
  </si>
  <si>
    <t xml:space="preserve">R4-2, R3-7, R2-5, R1-8</t>
  </si>
  <si>
    <t xml:space="preserve">R4-2, R3-7, R2-6, R1-1</t>
  </si>
  <si>
    <t xml:space="preserve">R4-2, R3-7, R2-6, R1-2</t>
  </si>
  <si>
    <t xml:space="preserve">R4-2, R3-7, R2-6, R1-3</t>
  </si>
  <si>
    <t xml:space="preserve">R4-2, R3-7, R2-6, R1-4</t>
  </si>
  <si>
    <t xml:space="preserve">R4-2, R3-7, R2-6, R1-5</t>
  </si>
  <si>
    <t xml:space="preserve">R4-2, R3-7, R2-6, R1-6</t>
  </si>
  <si>
    <t xml:space="preserve">R4-2, R3-7, R2-6, R1-7</t>
  </si>
  <si>
    <t xml:space="preserve">R4-2, R3-7, R2-6, R1-8</t>
  </si>
  <si>
    <t xml:space="preserve">R4-2, R3-7, R2-7, R1-1</t>
  </si>
  <si>
    <t xml:space="preserve">R4-2, R3-7, R2-7, R1-2</t>
  </si>
  <si>
    <t xml:space="preserve">R4-2, R3-7, R2-7, R1-3</t>
  </si>
  <si>
    <t xml:space="preserve">R4-2, R3-7, R2-7, R1-4</t>
  </si>
  <si>
    <t xml:space="preserve">R4-2, R3-7, R2-7, R1-5</t>
  </si>
  <si>
    <t xml:space="preserve">R4-2, R3-7, R2-7, R1-6</t>
  </si>
  <si>
    <t xml:space="preserve">R4-2, R3-7, R2-7, R1-7</t>
  </si>
  <si>
    <t xml:space="preserve">R4-2, R3-7, R2-7, R1-8</t>
  </si>
  <si>
    <t xml:space="preserve">R4-2, R3-7, R2-8, R1-1</t>
  </si>
  <si>
    <t xml:space="preserve">R4-2, R3-7, R2-8, R1-2</t>
  </si>
  <si>
    <t xml:space="preserve">R4-2, R3-7, R2-8, R1-3</t>
  </si>
  <si>
    <t xml:space="preserve">R4-2, R3-7, R2-8, R1-4</t>
  </si>
  <si>
    <t xml:space="preserve">R4-2, R3-7, R2-8, R1-5</t>
  </si>
  <si>
    <t xml:space="preserve">R4-2, R3-7, R2-8, R1-6</t>
  </si>
  <si>
    <t xml:space="preserve">R4-2, R3-7, R2-8, R1-7</t>
  </si>
  <si>
    <t xml:space="preserve">R4-2, R3-7, R2-8, R1-8</t>
  </si>
  <si>
    <t xml:space="preserve">R4-2, R3-8, R2-1, R1-1</t>
  </si>
  <si>
    <t xml:space="preserve">R4-2, R3-8, R2-1, R1-2</t>
  </si>
  <si>
    <t xml:space="preserve">R4-2, R3-8, R2-1, R1-3</t>
  </si>
  <si>
    <t xml:space="preserve">R4-2, R3-8, R2-1, R1-4</t>
  </si>
  <si>
    <t xml:space="preserve">R4-2, R3-8, R2-1, R1-5</t>
  </si>
  <si>
    <t xml:space="preserve">R4-2, R3-8, R2-1, R1-6</t>
  </si>
  <si>
    <t xml:space="preserve">R4-2, R3-8, R2-1, R1-7</t>
  </si>
  <si>
    <t xml:space="preserve">R4-2, R3-8, R2-1, R1-8</t>
  </si>
  <si>
    <t xml:space="preserve">R4-2, R3-8, R2-2, R1-1</t>
  </si>
  <si>
    <t xml:space="preserve">R4-2, R3-8, R2-2, R1-2</t>
  </si>
  <si>
    <t xml:space="preserve">R4-2, R3-8, R2-2, R1-3</t>
  </si>
  <si>
    <t xml:space="preserve">R4-2, R3-8, R2-2, R1-4</t>
  </si>
  <si>
    <t xml:space="preserve">R4-2, R3-8, R2-2, R1-5</t>
  </si>
  <si>
    <t xml:space="preserve">R4-2, R3-8, R2-2, R1-6</t>
  </si>
  <si>
    <t xml:space="preserve">R4-2, R3-8, R2-2, R1-7</t>
  </si>
  <si>
    <t xml:space="preserve">R4-2, R3-8, R2-2, R1-8</t>
  </si>
  <si>
    <t xml:space="preserve">R4-2, R3-8, R2-3, R1-1</t>
  </si>
  <si>
    <t xml:space="preserve">R4-2, R3-8, R2-3, R1-2</t>
  </si>
  <si>
    <t xml:space="preserve">R4-2, R3-8, R2-3, R1-3</t>
  </si>
  <si>
    <t xml:space="preserve">R4-2, R3-8, R2-3, R1-4</t>
  </si>
  <si>
    <t xml:space="preserve">R4-2, R3-8, R2-3, R1-5</t>
  </si>
  <si>
    <t xml:space="preserve">R4-2, R3-8, R2-3, R1-6</t>
  </si>
  <si>
    <t xml:space="preserve">R4-2, R3-8, R2-3, R1-7</t>
  </si>
  <si>
    <t xml:space="preserve">R4-2, R3-8, R2-3, R1-8</t>
  </si>
  <si>
    <t xml:space="preserve">R4-2, R3-8, R2-4, R1-1</t>
  </si>
  <si>
    <t xml:space="preserve">R4-2, R3-8, R2-4, R1-2</t>
  </si>
  <si>
    <t xml:space="preserve">R4-2, R3-8, R2-4, R1-3</t>
  </si>
  <si>
    <t xml:space="preserve">R4-2, R3-8, R2-4, R1-4</t>
  </si>
  <si>
    <t xml:space="preserve">R4-2, R3-8, R2-4, R1-5</t>
  </si>
  <si>
    <t xml:space="preserve">R4-2, R3-8, R2-4, R1-6</t>
  </si>
  <si>
    <t xml:space="preserve">R4-2, R3-8, R2-4, R1-7</t>
  </si>
  <si>
    <t xml:space="preserve">R4-2, R3-8, R2-4, R1-8</t>
  </si>
  <si>
    <t xml:space="preserve">R4-2, R3-8, R2-5, R1-1</t>
  </si>
  <si>
    <t xml:space="preserve">R4-2, R3-8, R2-5, R1-2</t>
  </si>
  <si>
    <t xml:space="preserve">R4-2, R3-8, R2-5, R1-3</t>
  </si>
  <si>
    <t xml:space="preserve">R4-2, R3-8, R2-5, R1-4</t>
  </si>
  <si>
    <t xml:space="preserve">R4-2, R3-8, R2-5, R1-5</t>
  </si>
  <si>
    <t xml:space="preserve">R4-2, R3-8, R2-5, R1-6</t>
  </si>
  <si>
    <t xml:space="preserve">R4-2, R3-8, R2-5, R1-7</t>
  </si>
  <si>
    <t xml:space="preserve">R4-2, R3-8, R2-5, R1-8</t>
  </si>
  <si>
    <t xml:space="preserve">R4-2, R3-8, R2-6, R1-1</t>
  </si>
  <si>
    <t xml:space="preserve">R4-2, R3-8, R2-6, R1-2</t>
  </si>
  <si>
    <t xml:space="preserve">R4-2, R3-8, R2-6, R1-3</t>
  </si>
  <si>
    <t xml:space="preserve">R4-2, R3-8, R2-6, R1-4</t>
  </si>
  <si>
    <t xml:space="preserve">R4-2, R3-8, R2-6, R1-5</t>
  </si>
  <si>
    <t xml:space="preserve">R4-2, R3-8, R2-6, R1-6</t>
  </si>
  <si>
    <t xml:space="preserve">R4-2, R3-8, R2-6, R1-7</t>
  </si>
  <si>
    <t xml:space="preserve">R4-2, R3-8, R2-6, R1-8</t>
  </si>
  <si>
    <t xml:space="preserve">R4-2, R3-8, R2-7, R1-1</t>
  </si>
  <si>
    <t xml:space="preserve">R4-2, R3-8, R2-7, R1-2</t>
  </si>
  <si>
    <t xml:space="preserve">R4-2, R3-8, R2-7, R1-3</t>
  </si>
  <si>
    <t xml:space="preserve">R4-2, R3-8, R2-7, R1-4</t>
  </si>
  <si>
    <t xml:space="preserve">R4-2, R3-8, R2-7, R1-5</t>
  </si>
  <si>
    <t xml:space="preserve">R4-2, R3-8, R2-7, R1-6</t>
  </si>
  <si>
    <t xml:space="preserve">R4-2, R3-8, R2-7, R1-7</t>
  </si>
  <si>
    <t xml:space="preserve">R4-2, R3-8, R2-7, R1-8</t>
  </si>
  <si>
    <t xml:space="preserve">R4-2, R3-8, R2-8, R1-1</t>
  </si>
  <si>
    <t xml:space="preserve">R4-2, R3-8, R2-8, R1-2</t>
  </si>
  <si>
    <t xml:space="preserve">R4-2, R3-8, R2-8, R1-3</t>
  </si>
  <si>
    <t xml:space="preserve">R4-2, R3-8, R2-8, R1-4</t>
  </si>
  <si>
    <t xml:space="preserve">R4-2, R3-8, R2-8, R1-5</t>
  </si>
  <si>
    <t xml:space="preserve">R4-2, R3-8, R2-8, R1-6</t>
  </si>
  <si>
    <t xml:space="preserve">R4-2, R3-8, R2-8, R1-7</t>
  </si>
  <si>
    <t xml:space="preserve">R4-2, R3-8, R2-8, R1-8</t>
  </si>
  <si>
    <t xml:space="preserve">R4-1, R3-5, R2-1, R1-1</t>
  </si>
  <si>
    <t xml:space="preserve">R4-1, R3-5, R2-1, R1-2</t>
  </si>
  <si>
    <t xml:space="preserve">R4-1, R3-5, R2-1, R1-3</t>
  </si>
  <si>
    <t xml:space="preserve">R4-1, R3-5, R2-1, R1-4</t>
  </si>
  <si>
    <t xml:space="preserve">R4-1, R3-5, R2-1, R1-5</t>
  </si>
  <si>
    <t xml:space="preserve">R4-1, R3-5, R2-1, R1-6</t>
  </si>
  <si>
    <t xml:space="preserve">R4-1, R3-5, R2-1, R1-7</t>
  </si>
  <si>
    <t xml:space="preserve">R4-1, R3-5, R2-1, R1-8</t>
  </si>
  <si>
    <t xml:space="preserve">R4-1, R3-5, R2-2, R1-1</t>
  </si>
  <si>
    <t xml:space="preserve">R4-1, R3-5, R2-2, R1-2</t>
  </si>
  <si>
    <t xml:space="preserve">R4-1, R3-5, R2-2, R1-3</t>
  </si>
  <si>
    <t xml:space="preserve">R4-1, R3-5, R2-2, R1-4</t>
  </si>
  <si>
    <t xml:space="preserve">R4-1, R3-5, R2-2, R1-5</t>
  </si>
  <si>
    <t xml:space="preserve">R4-1, R3-5, R2-2, R1-6</t>
  </si>
  <si>
    <t xml:space="preserve">R4-1, R3-5, R2-2, R1-7</t>
  </si>
  <si>
    <t xml:space="preserve">R4-1, R3-5, R2-2, R1-8</t>
  </si>
  <si>
    <t xml:space="preserve">R4-1, R3-5, R2-3, R1-1</t>
  </si>
  <si>
    <t xml:space="preserve">R4-1, R3-5, R2-3, R1-2</t>
  </si>
  <si>
    <t xml:space="preserve">R4-1, R3-5, R2-3, R1-3</t>
  </si>
  <si>
    <t xml:space="preserve">R4-1, R3-5, R2-3, R1-4</t>
  </si>
  <si>
    <t xml:space="preserve">R4-1, R3-5, R2-3, R1-5</t>
  </si>
  <si>
    <t xml:space="preserve">R4-1, R3-5, R2-3, R1-6</t>
  </si>
  <si>
    <t xml:space="preserve">R4-1, R3-5, R2-3, R1-7</t>
  </si>
  <si>
    <t xml:space="preserve">R4-1, R3-5, R2-3, R1-8</t>
  </si>
  <si>
    <t xml:space="preserve">R4-1, R3-5, R2-4, R1-1</t>
  </si>
  <si>
    <t xml:space="preserve">R4-1, R3-5, R2-4, R1-2</t>
  </si>
  <si>
    <t xml:space="preserve">R4-1, R3-5, R2-4, R1-3</t>
  </si>
  <si>
    <t xml:space="preserve">R4-1, R3-5, R2-4, R1-4</t>
  </si>
  <si>
    <t xml:space="preserve">R4-1, R3-5, R2-4, R1-5</t>
  </si>
  <si>
    <t xml:space="preserve">R4-1, R3-5, R2-4, R1-6</t>
  </si>
  <si>
    <t xml:space="preserve">R4-1, R3-5, R2-4, R1-7</t>
  </si>
  <si>
    <t xml:space="preserve">R4-1, R3-5, R2-4, R1-8</t>
  </si>
  <si>
    <t xml:space="preserve">R4-1, R3-5, R2-5, R1-1</t>
  </si>
  <si>
    <t xml:space="preserve">R4-1, R3-5, R2-5, R1-2</t>
  </si>
  <si>
    <t xml:space="preserve">R4-1, R3-5, R2-5, R1-3</t>
  </si>
  <si>
    <t xml:space="preserve">R4-1, R3-5, R2-5, R1-4</t>
  </si>
  <si>
    <t xml:space="preserve">R4-1, R3-5, R2-5, R1-5</t>
  </si>
  <si>
    <t xml:space="preserve">R4-1, R3-5, R2-5, R1-6</t>
  </si>
  <si>
    <t xml:space="preserve">R4-1, R3-5, R2-5, R1-7</t>
  </si>
  <si>
    <t xml:space="preserve">R4-1, R3-5, R2-5, R1-8</t>
  </si>
  <si>
    <t xml:space="preserve">R4-1, R3-5, R2-6, R1-1</t>
  </si>
  <si>
    <t xml:space="preserve">R4-1, R3-5, R2-6, R1-2</t>
  </si>
  <si>
    <t xml:space="preserve">R4-1, R3-5, R2-6, R1-3</t>
  </si>
  <si>
    <t xml:space="preserve">R4-1, R3-5, R2-6, R1-4</t>
  </si>
  <si>
    <t xml:space="preserve">R4-1, R3-5, R2-6, R1-5</t>
  </si>
  <si>
    <t xml:space="preserve">R4-1, R3-5, R2-6, R1-6</t>
  </si>
  <si>
    <t xml:space="preserve">R4-1, R3-5, R2-6, R1-7</t>
  </si>
  <si>
    <t xml:space="preserve">R4-1, R3-5, R2-6, R1-8</t>
  </si>
  <si>
    <t xml:space="preserve">R4-1, R3-5, R2-7, R1-1</t>
  </si>
  <si>
    <t xml:space="preserve">R4-1, R3-5, R2-7, R1-2</t>
  </si>
  <si>
    <t xml:space="preserve">R4-1, R3-5, R2-7, R1-3</t>
  </si>
  <si>
    <t xml:space="preserve">R4-1, R3-5, R2-7, R1-4</t>
  </si>
  <si>
    <t xml:space="preserve">R4-1, R3-5, R2-7, R1-5</t>
  </si>
  <si>
    <t xml:space="preserve">R4-1, R3-5, R2-7, R1-6</t>
  </si>
  <si>
    <t xml:space="preserve">R4-1, R3-5, R2-7, R1-7</t>
  </si>
  <si>
    <t xml:space="preserve">R4-1, R3-5, R2-7, R1-8</t>
  </si>
  <si>
    <t xml:space="preserve">R4-1, R3-5, R2-8, R1-1</t>
  </si>
  <si>
    <t xml:space="preserve">R4-1, R3-5, R2-8, R1-2</t>
  </si>
  <si>
    <t xml:space="preserve">R4-1, R3-5, R2-8, R1-3</t>
  </si>
  <si>
    <t xml:space="preserve">R4-1, R3-5, R2-8, R1-4</t>
  </si>
  <si>
    <t xml:space="preserve">R4-1, R3-5, R2-8, R1-5</t>
  </si>
  <si>
    <t xml:space="preserve">R4-1, R3-5, R2-8, R1-6</t>
  </si>
  <si>
    <t xml:space="preserve">R4-1, R3-5, R2-8, R1-7</t>
  </si>
  <si>
    <t xml:space="preserve">R4-1, R3-5, R2-8, R1-8</t>
  </si>
  <si>
    <t xml:space="preserve">R4-1, R3-6, R2-1, R1-1</t>
  </si>
  <si>
    <t xml:space="preserve">R4-1, R3-6, R2-1, R1-2</t>
  </si>
  <si>
    <t xml:space="preserve">R4-1, R3-6, R2-1, R1-3</t>
  </si>
  <si>
    <t xml:space="preserve">R4-1, R3-6, R2-1, R1-4</t>
  </si>
  <si>
    <t xml:space="preserve">R4-1, R3-6, R2-1, R1-5</t>
  </si>
  <si>
    <t xml:space="preserve">R4-1, R3-6, R2-1, R1-6</t>
  </si>
  <si>
    <t xml:space="preserve">R4-1, R3-6, R2-1, R1-7</t>
  </si>
  <si>
    <t xml:space="preserve">R4-1, R3-6, R2-1, R1-8</t>
  </si>
  <si>
    <t xml:space="preserve">R4-1, R3-6, R2-2, R1-1</t>
  </si>
  <si>
    <t xml:space="preserve">R4-1, R3-6, R2-2, R1-2</t>
  </si>
  <si>
    <t xml:space="preserve">R4-1, R3-6, R2-2, R1-3</t>
  </si>
  <si>
    <t xml:space="preserve">R4-1, R3-6, R2-2, R1-4</t>
  </si>
  <si>
    <t xml:space="preserve">R4-1, R3-6, R2-2, R1-5</t>
  </si>
  <si>
    <t xml:space="preserve">R4-1, R3-6, R2-2, R1-6</t>
  </si>
  <si>
    <t xml:space="preserve">R4-1, R3-6, R2-2, R1-7</t>
  </si>
  <si>
    <t xml:space="preserve">R4-1, R3-6, R2-2, R1-8</t>
  </si>
  <si>
    <t xml:space="preserve">R4-1, R3-6, R2-3, R1-1</t>
  </si>
  <si>
    <t xml:space="preserve">R4-1, R3-6, R2-3, R1-2</t>
  </si>
  <si>
    <t xml:space="preserve">R4-1, R3-6, R2-3, R1-3</t>
  </si>
  <si>
    <t xml:space="preserve">R4-1, R3-6, R2-3, R1-4</t>
  </si>
  <si>
    <t xml:space="preserve">R4-1, R3-6, R2-3, R1-5</t>
  </si>
  <si>
    <t xml:space="preserve">R4-1, R3-6, R2-3, R1-6</t>
  </si>
  <si>
    <t xml:space="preserve">R4-1, R3-6, R2-3, R1-7</t>
  </si>
  <si>
    <t xml:space="preserve">R4-1, R3-6, R2-3, R1-8</t>
  </si>
  <si>
    <t xml:space="preserve">R4-1, R3-6, R2-4, R1-1</t>
  </si>
  <si>
    <t xml:space="preserve">R4-1, R3-6, R2-4, R1-2</t>
  </si>
  <si>
    <t xml:space="preserve">R4-1, R3-6, R2-4, R1-3</t>
  </si>
  <si>
    <t xml:space="preserve">R4-1, R3-6, R2-4, R1-4</t>
  </si>
  <si>
    <t xml:space="preserve">R4-1, R3-6, R2-4, R1-5</t>
  </si>
  <si>
    <t xml:space="preserve">R4-1, R3-6, R2-4, R1-6</t>
  </si>
  <si>
    <t xml:space="preserve">R4-1, R3-6, R2-4, R1-7</t>
  </si>
  <si>
    <t xml:space="preserve">R4-1, R3-6, R2-4, R1-8</t>
  </si>
  <si>
    <t xml:space="preserve">R4-1, R3-6, R2-5, R1-1</t>
  </si>
  <si>
    <t xml:space="preserve">R4-1, R3-6, R2-5, R1-2</t>
  </si>
  <si>
    <t xml:space="preserve">R4-1, R3-6, R2-5, R1-3</t>
  </si>
  <si>
    <t xml:space="preserve">R4-1, R3-6, R2-5, R1-4</t>
  </si>
  <si>
    <t xml:space="preserve">R4-1, R3-6, R2-5, R1-5</t>
  </si>
  <si>
    <t xml:space="preserve">R4-1, R3-6, R2-5, R1-6</t>
  </si>
  <si>
    <t xml:space="preserve">R4-1, R3-6, R2-5, R1-7</t>
  </si>
  <si>
    <t xml:space="preserve">R4-1, R3-6, R2-5, R1-8</t>
  </si>
  <si>
    <t xml:space="preserve">R4-1, R3-6, R2-6, R1-1</t>
  </si>
  <si>
    <t xml:space="preserve">R4-1, R3-6, R2-6, R1-2</t>
  </si>
  <si>
    <t xml:space="preserve">R4-1, R3-6, R2-6, R1-3</t>
  </si>
  <si>
    <t xml:space="preserve">R4-1, R3-6, R2-6, R1-4</t>
  </si>
  <si>
    <t xml:space="preserve">R4-1, R3-6, R2-6, R1-5</t>
  </si>
  <si>
    <t xml:space="preserve">R4-1, R3-6, R2-6, R1-6</t>
  </si>
  <si>
    <t xml:space="preserve">R4-1, R3-6, R2-6, R1-7</t>
  </si>
  <si>
    <t xml:space="preserve">R4-1, R3-6, R2-6, R1-8</t>
  </si>
  <si>
    <t xml:space="preserve">R4-1, R3-6, R2-7, R1-1</t>
  </si>
  <si>
    <t xml:space="preserve">R4-1, R3-6, R2-7, R1-2</t>
  </si>
  <si>
    <t xml:space="preserve">R4-1, R3-6, R2-7, R1-3</t>
  </si>
  <si>
    <t xml:space="preserve">R4-1, R3-6, R2-7, R1-4</t>
  </si>
  <si>
    <t xml:space="preserve">R4-1, R3-6, R2-7, R1-5</t>
  </si>
  <si>
    <t xml:space="preserve">R4-1, R3-6, R2-7, R1-6</t>
  </si>
  <si>
    <t xml:space="preserve">R4-1, R3-6, R2-7, R1-7</t>
  </si>
  <si>
    <t xml:space="preserve">R4-1, R3-6, R2-7, R1-8</t>
  </si>
  <si>
    <t xml:space="preserve">R4-1, R3-6, R2-8, R1-1</t>
  </si>
  <si>
    <t xml:space="preserve">R4-1, R3-6, R2-8, R1-2</t>
  </si>
  <si>
    <t xml:space="preserve">R4-1, R3-6, R2-8, R1-3</t>
  </si>
  <si>
    <t xml:space="preserve">R4-1, R3-6, R2-8, R1-4</t>
  </si>
  <si>
    <t xml:space="preserve">R4-1, R3-6, R2-8, R1-5</t>
  </si>
  <si>
    <t xml:space="preserve">R4-1, R3-6, R2-8, R1-6</t>
  </si>
  <si>
    <t xml:space="preserve">R4-1, R3-6, R2-8, R1-7</t>
  </si>
  <si>
    <t xml:space="preserve">R4-1, R3-6, R2-8, R1-8</t>
  </si>
  <si>
    <t xml:space="preserve">R4-1, R3-7, R2-1, R1-1</t>
  </si>
  <si>
    <t xml:space="preserve">R4-1, R3-7, R2-1, R1-2</t>
  </si>
  <si>
    <t xml:space="preserve">R4-1, R3-7, R2-1, R1-3</t>
  </si>
  <si>
    <t xml:space="preserve">R4-1, R3-7, R2-1, R1-4</t>
  </si>
  <si>
    <t xml:space="preserve">R4-1, R3-7, R2-1, R1-5</t>
  </si>
  <si>
    <t xml:space="preserve">R4-1, R3-7, R2-1, R1-6</t>
  </si>
  <si>
    <t xml:space="preserve">R4-1, R3-7, R2-1, R1-7</t>
  </si>
  <si>
    <t xml:space="preserve">R4-1, R3-7, R2-1, R1-8</t>
  </si>
  <si>
    <t xml:space="preserve">R4-1, R3-7, R2-2, R1-1</t>
  </si>
  <si>
    <t xml:space="preserve">R4-1, R3-7, R2-2, R1-2</t>
  </si>
  <si>
    <t xml:space="preserve">R4-1, R3-7, R2-2, R1-3</t>
  </si>
  <si>
    <t xml:space="preserve">R4-1, R3-7, R2-2, R1-4</t>
  </si>
  <si>
    <t xml:space="preserve">R4-1, R3-7, R2-2, R1-5</t>
  </si>
  <si>
    <t xml:space="preserve">R4-1, R3-7, R2-2, R1-6</t>
  </si>
  <si>
    <t xml:space="preserve">R4-1, R3-7, R2-2, R1-7</t>
  </si>
  <si>
    <t xml:space="preserve">R4-1, R3-7, R2-2, R1-8</t>
  </si>
  <si>
    <t xml:space="preserve">R4-1, R3-7, R2-3, R1-1</t>
  </si>
  <si>
    <t xml:space="preserve">R4-1, R3-7, R2-3, R1-2</t>
  </si>
  <si>
    <t xml:space="preserve">R4-1, R3-7, R2-3, R1-3</t>
  </si>
  <si>
    <t xml:space="preserve">R4-1, R3-7, R2-3, R1-4</t>
  </si>
  <si>
    <t xml:space="preserve">R4-1, R3-7, R2-3, R1-5</t>
  </si>
  <si>
    <t xml:space="preserve">R4-1, R3-7, R2-3, R1-6</t>
  </si>
  <si>
    <t xml:space="preserve">R4-1, R3-7, R2-3, R1-7</t>
  </si>
  <si>
    <t xml:space="preserve">R4-1, R3-7, R2-3, R1-8</t>
  </si>
  <si>
    <t xml:space="preserve">R4-1, R3-7, R2-4, R1-1</t>
  </si>
  <si>
    <t xml:space="preserve">R4-1, R3-7, R2-4, R1-2</t>
  </si>
  <si>
    <t xml:space="preserve">R4-1, R3-7, R2-4, R1-3</t>
  </si>
  <si>
    <t xml:space="preserve">R4-1, R3-7, R2-4, R1-4</t>
  </si>
  <si>
    <t xml:space="preserve">R4-1, R3-7, R2-4, R1-5</t>
  </si>
  <si>
    <t xml:space="preserve">R4-1, R3-7, R2-4, R1-6</t>
  </si>
  <si>
    <t xml:space="preserve">R4-1, R3-7, R2-4, R1-7</t>
  </si>
  <si>
    <t xml:space="preserve">R4-1, R3-7, R2-4, R1-8</t>
  </si>
  <si>
    <t xml:space="preserve">R4-1, R3-7, R2-5, R1-1</t>
  </si>
  <si>
    <t xml:space="preserve">R4-1, R3-7, R2-5, R1-2</t>
  </si>
  <si>
    <t xml:space="preserve">R4-1, R3-7, R2-5, R1-3</t>
  </si>
  <si>
    <t xml:space="preserve">R4-1, R3-7, R2-5, R1-4</t>
  </si>
  <si>
    <t xml:space="preserve">R4-1, R3-7, R2-5, R1-5</t>
  </si>
  <si>
    <t xml:space="preserve">R4-1, R3-7, R2-5, R1-6</t>
  </si>
  <si>
    <t xml:space="preserve">R4-1, R3-7, R2-5, R1-7</t>
  </si>
  <si>
    <t xml:space="preserve">R4-1, R3-7, R2-5, R1-8</t>
  </si>
  <si>
    <t xml:space="preserve">R4-1, R3-7, R2-6, R1-1</t>
  </si>
  <si>
    <t xml:space="preserve">R4-1, R3-7, R2-6, R1-2</t>
  </si>
  <si>
    <t xml:space="preserve">R4-1, R3-7, R2-6, R1-3</t>
  </si>
  <si>
    <t xml:space="preserve">R4-1, R3-7, R2-6, R1-4</t>
  </si>
  <si>
    <t xml:space="preserve">R4-1, R3-7, R2-6, R1-5</t>
  </si>
  <si>
    <t xml:space="preserve">R4-1, R3-7, R2-6, R1-6</t>
  </si>
  <si>
    <t xml:space="preserve">R4-1, R3-7, R2-6, R1-7</t>
  </si>
  <si>
    <t xml:space="preserve">R4-1, R3-7, R2-6, R1-8</t>
  </si>
  <si>
    <t xml:space="preserve">R4-1, R3-7, R2-7, R1-1</t>
  </si>
  <si>
    <t xml:space="preserve">R4-1, R3-7, R2-7, R1-2</t>
  </si>
  <si>
    <t xml:space="preserve">R4-1, R3-7, R2-7, R1-3</t>
  </si>
  <si>
    <t xml:space="preserve">R4-1, R3-7, R2-7, R1-4</t>
  </si>
  <si>
    <t xml:space="preserve">R4-1, R3-7, R2-7, R1-5</t>
  </si>
  <si>
    <t xml:space="preserve">R4-1, R3-7, R2-7, R1-6</t>
  </si>
  <si>
    <t xml:space="preserve">R4-1, R3-7, R2-7, R1-7</t>
  </si>
  <si>
    <t xml:space="preserve">R4-1, R3-7, R2-7, R1-8</t>
  </si>
  <si>
    <t xml:space="preserve">R4-1, R3-7, R2-8, R1-1</t>
  </si>
  <si>
    <t xml:space="preserve">R4-1, R3-7, R2-8, R1-2</t>
  </si>
  <si>
    <t xml:space="preserve">R4-1, R3-7, R2-8, R1-3</t>
  </si>
  <si>
    <t xml:space="preserve">R4-1, R3-7, R2-8, R1-4</t>
  </si>
  <si>
    <t xml:space="preserve">R4-1, R3-7, R2-8, R1-5</t>
  </si>
  <si>
    <t xml:space="preserve">R4-1, R3-7, R2-8, R1-6</t>
  </si>
  <si>
    <t xml:space="preserve">R4-1, R3-7, R2-8, R1-7</t>
  </si>
  <si>
    <t xml:space="preserve">R4-1, R3-7, R2-8, R1-8</t>
  </si>
  <si>
    <t xml:space="preserve">R4-1, R3-8, R2-1, R1-1</t>
  </si>
  <si>
    <t xml:space="preserve">R4-1, R3-8, R2-1, R1-2</t>
  </si>
  <si>
    <t xml:space="preserve">R4-1, R3-8, R2-1, R1-3</t>
  </si>
  <si>
    <t xml:space="preserve">R4-1, R3-8, R2-1, R1-4</t>
  </si>
  <si>
    <t xml:space="preserve">R4-1, R3-8, R2-1, R1-5</t>
  </si>
  <si>
    <t xml:space="preserve">R4-1, R3-8, R2-1, R1-6</t>
  </si>
  <si>
    <t xml:space="preserve">R4-1, R3-8, R2-1, R1-7</t>
  </si>
  <si>
    <t xml:space="preserve">R4-1, R3-8, R2-1, R1-8</t>
  </si>
  <si>
    <t xml:space="preserve">R4-1, R3-8, R2-2, R1-1</t>
  </si>
  <si>
    <t xml:space="preserve">R4-1, R3-8, R2-2, R1-2</t>
  </si>
  <si>
    <t xml:space="preserve">R4-1, R3-8, R2-2, R1-3</t>
  </si>
  <si>
    <t xml:space="preserve">R4-1, R3-8, R2-2, R1-4</t>
  </si>
  <si>
    <t xml:space="preserve">R4-1, R3-8, R2-2, R1-5</t>
  </si>
  <si>
    <t xml:space="preserve">R4-1, R3-8, R2-2, R1-6</t>
  </si>
  <si>
    <t xml:space="preserve">R4-1, R3-8, R2-2, R1-7</t>
  </si>
  <si>
    <t xml:space="preserve">R4-1, R3-8, R2-2, R1-8</t>
  </si>
  <si>
    <t xml:space="preserve">R4-1, R3-8, R2-3, R1-1</t>
  </si>
  <si>
    <t xml:space="preserve">R4-1, R3-8, R2-3, R1-2</t>
  </si>
  <si>
    <t xml:space="preserve">R4-1, R3-8, R2-3, R1-3</t>
  </si>
  <si>
    <t xml:space="preserve">R4-1, R3-8, R2-3, R1-4</t>
  </si>
  <si>
    <t xml:space="preserve">R4-1, R3-8, R2-3, R1-5</t>
  </si>
  <si>
    <t xml:space="preserve">R4-1, R3-8, R2-3, R1-6</t>
  </si>
  <si>
    <t xml:space="preserve">R4-1, R3-8, R2-3, R1-7</t>
  </si>
  <si>
    <t xml:space="preserve">R4-1, R3-8, R2-3, R1-8</t>
  </si>
  <si>
    <t xml:space="preserve">R4-1, R3-8, R2-4, R1-1</t>
  </si>
  <si>
    <t xml:space="preserve">R4-1, R3-8, R2-4, R1-2</t>
  </si>
  <si>
    <t xml:space="preserve">R4-1, R3-8, R2-4, R1-3</t>
  </si>
  <si>
    <t xml:space="preserve">R4-1, R3-8, R2-4, R1-4</t>
  </si>
  <si>
    <t xml:space="preserve">R4-1, R3-8, R2-4, R1-5</t>
  </si>
  <si>
    <t xml:space="preserve">R4-1, R3-8, R2-4, R1-6</t>
  </si>
  <si>
    <t xml:space="preserve">R4-1, R3-8, R2-4, R1-7</t>
  </si>
  <si>
    <t xml:space="preserve">R4-1, R3-8, R2-4, R1-8</t>
  </si>
  <si>
    <t xml:space="preserve">R4-1, R3-8, R2-5, R1-1</t>
  </si>
  <si>
    <t xml:space="preserve">R4-1, R3-8, R2-5, R1-2</t>
  </si>
  <si>
    <t xml:space="preserve">R4-1, R3-8, R2-5, R1-3</t>
  </si>
  <si>
    <t xml:space="preserve">R4-1, R3-8, R2-5, R1-4</t>
  </si>
  <si>
    <t xml:space="preserve">R4-1, R3-8, R2-5, R1-5</t>
  </si>
  <si>
    <t xml:space="preserve">R4-1, R3-8, R2-5, R1-6</t>
  </si>
  <si>
    <t xml:space="preserve">R4-1, R3-8, R2-5, R1-7</t>
  </si>
  <si>
    <t xml:space="preserve">R4-1, R3-8, R2-5, R1-8</t>
  </si>
  <si>
    <t xml:space="preserve">R4-1, R3-8, R2-6, R1-1</t>
  </si>
  <si>
    <t xml:space="preserve">R4-1, R3-8, R2-6, R1-2</t>
  </si>
  <si>
    <t xml:space="preserve">R4-1, R3-8, R2-6, R1-3</t>
  </si>
  <si>
    <t xml:space="preserve">R4-1, R3-8, R2-6, R1-4</t>
  </si>
  <si>
    <t xml:space="preserve">R4-1, R3-8, R2-6, R1-5</t>
  </si>
  <si>
    <t xml:space="preserve">R4-1, R3-8, R2-6, R1-6</t>
  </si>
  <si>
    <t xml:space="preserve">R4-1, R3-8, R2-6, R1-7</t>
  </si>
  <si>
    <t xml:space="preserve">R4-1, R3-8, R2-6, R1-8</t>
  </si>
  <si>
    <t xml:space="preserve">R4-1, R3-8, R2-7, R1-1</t>
  </si>
  <si>
    <t xml:space="preserve">R4-1, R3-8, R2-7, R1-2</t>
  </si>
  <si>
    <t xml:space="preserve">R4-1, R3-8, R2-7, R1-3</t>
  </si>
  <si>
    <t xml:space="preserve">R4-1, R3-8, R2-7, R1-4</t>
  </si>
  <si>
    <t xml:space="preserve">R4-1, R3-8, R2-7, R1-5</t>
  </si>
  <si>
    <t xml:space="preserve">R4-1, R3-8, R2-7, R1-6</t>
  </si>
  <si>
    <t xml:space="preserve">R4-1, R3-8, R2-7, R1-7</t>
  </si>
  <si>
    <t xml:space="preserve">R4-1, R3-8, R2-7, R1-8</t>
  </si>
  <si>
    <t xml:space="preserve">R4-1, R3-8, R2-8, R1-1</t>
  </si>
  <si>
    <t xml:space="preserve">R4-1, R3-8, R2-8, R1-2</t>
  </si>
  <si>
    <t xml:space="preserve">R4-1, R3-8, R2-8, R1-3</t>
  </si>
  <si>
    <t xml:space="preserve">R4-1, R3-8, R2-8, R1-4</t>
  </si>
  <si>
    <t xml:space="preserve">R4-1, R3-8, R2-8, R1-5</t>
  </si>
  <si>
    <t xml:space="preserve">R4-1, R3-8, R2-8, R1-6</t>
  </si>
  <si>
    <t xml:space="preserve">R4-1, R3-8, R2-8, R1-7</t>
  </si>
  <si>
    <t xml:space="preserve">R4-1, R3-8, R2-8, R1-8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</si>
</sst>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&quot; Ω&quot;"/>
    <numFmt numFmtId="166" formatCode="0"/>
    <numFmt numFmtId="167" formatCode="@"/>
    <numFmt numFmtId="168" formatCode="General"/>
    <numFmt numFmtId="169" formatCode="\+0.000&quot; Ω&quot;;\-0.000&quot; Ω&quot;;0.000&quot; Ω&quot;"/>
    <numFmt numFmtId="170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2EFDA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2EFDA"/>
      </patternFill>
    </fill>
    <fill>
      <patternFill patternType="solid">
        <fgColor rgb="FFD9D9D9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3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006100"/>
        <sz val="9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A6A6A6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TAT resistance vs step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'Lookup Table'!$A$3:$A$770</c:f>
              <c:numCache>
                <c:formatCode>General</c:formatCode>
                <c:ptCount val="7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</c:numCache>
            </c:numRef>
          </c:xVal>
          <c:yVal>
            <c:numRef>
              <c:f>'Lookup Table'!$B$3:$B$770</c:f>
              <c:numCache>
                <c:formatCode>0.000" Ω"</c:formatCode>
                <c:ptCount val="768"/>
                <c:pt idx="0">
                  <c:v>30</c:v>
                </c:pt>
                <c:pt idx="1">
                  <c:v>30.125</c:v>
                </c:pt>
                <c:pt idx="2">
                  <c:v>30.25</c:v>
                </c:pt>
                <c:pt idx="3">
                  <c:v>30.375</c:v>
                </c:pt>
                <c:pt idx="4">
                  <c:v>30.5</c:v>
                </c:pt>
                <c:pt idx="5">
                  <c:v>30.625</c:v>
                </c:pt>
                <c:pt idx="6">
                  <c:v>30.75</c:v>
                </c:pt>
                <c:pt idx="7">
                  <c:v>30.875</c:v>
                </c:pt>
                <c:pt idx="8">
                  <c:v>31</c:v>
                </c:pt>
                <c:pt idx="9">
                  <c:v>31.125</c:v>
                </c:pt>
                <c:pt idx="10">
                  <c:v>31.25</c:v>
                </c:pt>
                <c:pt idx="11">
                  <c:v>31.375</c:v>
                </c:pt>
                <c:pt idx="12">
                  <c:v>31.5</c:v>
                </c:pt>
                <c:pt idx="13">
                  <c:v>31.625</c:v>
                </c:pt>
                <c:pt idx="14">
                  <c:v>31.75</c:v>
                </c:pt>
                <c:pt idx="15">
                  <c:v>31.875</c:v>
                </c:pt>
                <c:pt idx="16">
                  <c:v>32</c:v>
                </c:pt>
                <c:pt idx="17">
                  <c:v>32.125</c:v>
                </c:pt>
                <c:pt idx="18">
                  <c:v>32.25</c:v>
                </c:pt>
                <c:pt idx="19">
                  <c:v>32.375</c:v>
                </c:pt>
                <c:pt idx="20">
                  <c:v>32.5</c:v>
                </c:pt>
                <c:pt idx="21">
                  <c:v>32.625</c:v>
                </c:pt>
                <c:pt idx="22">
                  <c:v>32.75</c:v>
                </c:pt>
                <c:pt idx="23">
                  <c:v>32.875</c:v>
                </c:pt>
                <c:pt idx="24">
                  <c:v>33</c:v>
                </c:pt>
                <c:pt idx="25">
                  <c:v>33.125</c:v>
                </c:pt>
                <c:pt idx="26">
                  <c:v>33.25</c:v>
                </c:pt>
                <c:pt idx="27">
                  <c:v>33.375</c:v>
                </c:pt>
                <c:pt idx="28">
                  <c:v>33.5</c:v>
                </c:pt>
                <c:pt idx="29">
                  <c:v>33.625</c:v>
                </c:pt>
                <c:pt idx="30">
                  <c:v>33.75</c:v>
                </c:pt>
                <c:pt idx="31">
                  <c:v>33.875</c:v>
                </c:pt>
                <c:pt idx="32">
                  <c:v>34</c:v>
                </c:pt>
                <c:pt idx="33">
                  <c:v>34.125</c:v>
                </c:pt>
                <c:pt idx="34">
                  <c:v>34.25</c:v>
                </c:pt>
                <c:pt idx="35">
                  <c:v>34.375</c:v>
                </c:pt>
                <c:pt idx="36">
                  <c:v>34.5</c:v>
                </c:pt>
                <c:pt idx="37">
                  <c:v>34.625</c:v>
                </c:pt>
                <c:pt idx="38">
                  <c:v>34.75</c:v>
                </c:pt>
                <c:pt idx="39">
                  <c:v>34.875</c:v>
                </c:pt>
                <c:pt idx="40">
                  <c:v>35</c:v>
                </c:pt>
                <c:pt idx="41">
                  <c:v>35.125</c:v>
                </c:pt>
                <c:pt idx="42">
                  <c:v>35.25</c:v>
                </c:pt>
                <c:pt idx="43">
                  <c:v>35.375</c:v>
                </c:pt>
                <c:pt idx="44">
                  <c:v>35.5</c:v>
                </c:pt>
                <c:pt idx="45">
                  <c:v>35.625</c:v>
                </c:pt>
                <c:pt idx="46">
                  <c:v>35.75</c:v>
                </c:pt>
                <c:pt idx="47">
                  <c:v>35.875</c:v>
                </c:pt>
                <c:pt idx="48">
                  <c:v>36</c:v>
                </c:pt>
                <c:pt idx="49">
                  <c:v>36.125</c:v>
                </c:pt>
                <c:pt idx="50">
                  <c:v>36.25</c:v>
                </c:pt>
                <c:pt idx="51">
                  <c:v>36.375</c:v>
                </c:pt>
                <c:pt idx="52">
                  <c:v>36.5</c:v>
                </c:pt>
                <c:pt idx="53">
                  <c:v>36.625</c:v>
                </c:pt>
                <c:pt idx="54">
                  <c:v>36.75</c:v>
                </c:pt>
                <c:pt idx="55">
                  <c:v>36.875</c:v>
                </c:pt>
                <c:pt idx="56">
                  <c:v>37</c:v>
                </c:pt>
                <c:pt idx="57">
                  <c:v>37.125</c:v>
                </c:pt>
                <c:pt idx="58">
                  <c:v>37.25</c:v>
                </c:pt>
                <c:pt idx="59">
                  <c:v>37.375</c:v>
                </c:pt>
                <c:pt idx="60">
                  <c:v>37.5</c:v>
                </c:pt>
                <c:pt idx="61">
                  <c:v>37.625</c:v>
                </c:pt>
                <c:pt idx="62">
                  <c:v>37.75</c:v>
                </c:pt>
                <c:pt idx="63">
                  <c:v>37.875</c:v>
                </c:pt>
                <c:pt idx="64">
                  <c:v>38</c:v>
                </c:pt>
                <c:pt idx="65">
                  <c:v>38.125</c:v>
                </c:pt>
                <c:pt idx="66">
                  <c:v>38.25</c:v>
                </c:pt>
                <c:pt idx="67">
                  <c:v>38.375</c:v>
                </c:pt>
                <c:pt idx="68">
                  <c:v>38.5</c:v>
                </c:pt>
                <c:pt idx="69">
                  <c:v>38.625</c:v>
                </c:pt>
                <c:pt idx="70">
                  <c:v>38.75</c:v>
                </c:pt>
                <c:pt idx="71">
                  <c:v>38.875</c:v>
                </c:pt>
                <c:pt idx="72">
                  <c:v>39</c:v>
                </c:pt>
                <c:pt idx="73">
                  <c:v>39.125</c:v>
                </c:pt>
                <c:pt idx="74">
                  <c:v>39.25</c:v>
                </c:pt>
                <c:pt idx="75">
                  <c:v>39.375</c:v>
                </c:pt>
                <c:pt idx="76">
                  <c:v>39.5</c:v>
                </c:pt>
                <c:pt idx="77">
                  <c:v>39.625</c:v>
                </c:pt>
                <c:pt idx="78">
                  <c:v>39.75</c:v>
                </c:pt>
                <c:pt idx="79">
                  <c:v>39.875</c:v>
                </c:pt>
                <c:pt idx="80">
                  <c:v>40</c:v>
                </c:pt>
                <c:pt idx="81">
                  <c:v>40.125</c:v>
                </c:pt>
                <c:pt idx="82">
                  <c:v>40.25</c:v>
                </c:pt>
                <c:pt idx="83">
                  <c:v>40.375</c:v>
                </c:pt>
                <c:pt idx="84">
                  <c:v>40.5</c:v>
                </c:pt>
                <c:pt idx="85">
                  <c:v>40.625</c:v>
                </c:pt>
                <c:pt idx="86">
                  <c:v>40.75</c:v>
                </c:pt>
                <c:pt idx="87">
                  <c:v>40.875</c:v>
                </c:pt>
                <c:pt idx="88">
                  <c:v>41</c:v>
                </c:pt>
                <c:pt idx="89">
                  <c:v>41.125</c:v>
                </c:pt>
                <c:pt idx="90">
                  <c:v>41.25</c:v>
                </c:pt>
                <c:pt idx="91">
                  <c:v>41.375</c:v>
                </c:pt>
                <c:pt idx="92">
                  <c:v>41.5</c:v>
                </c:pt>
                <c:pt idx="93">
                  <c:v>41.625</c:v>
                </c:pt>
                <c:pt idx="94">
                  <c:v>41.75</c:v>
                </c:pt>
                <c:pt idx="95">
                  <c:v>41.875</c:v>
                </c:pt>
                <c:pt idx="96">
                  <c:v>42</c:v>
                </c:pt>
                <c:pt idx="97">
                  <c:v>42.125</c:v>
                </c:pt>
                <c:pt idx="98">
                  <c:v>42.25</c:v>
                </c:pt>
                <c:pt idx="99">
                  <c:v>42.375</c:v>
                </c:pt>
                <c:pt idx="100">
                  <c:v>42.5</c:v>
                </c:pt>
                <c:pt idx="101">
                  <c:v>42.625</c:v>
                </c:pt>
                <c:pt idx="102">
                  <c:v>42.75</c:v>
                </c:pt>
                <c:pt idx="103">
                  <c:v>42.875</c:v>
                </c:pt>
                <c:pt idx="104">
                  <c:v>43</c:v>
                </c:pt>
                <c:pt idx="105">
                  <c:v>43.125</c:v>
                </c:pt>
                <c:pt idx="106">
                  <c:v>43.25</c:v>
                </c:pt>
                <c:pt idx="107">
                  <c:v>43.375</c:v>
                </c:pt>
                <c:pt idx="108">
                  <c:v>43.5</c:v>
                </c:pt>
                <c:pt idx="109">
                  <c:v>43.625</c:v>
                </c:pt>
                <c:pt idx="110">
                  <c:v>43.75</c:v>
                </c:pt>
                <c:pt idx="111">
                  <c:v>43.875</c:v>
                </c:pt>
                <c:pt idx="112">
                  <c:v>44</c:v>
                </c:pt>
                <c:pt idx="113">
                  <c:v>44.125</c:v>
                </c:pt>
                <c:pt idx="114">
                  <c:v>44.25</c:v>
                </c:pt>
                <c:pt idx="115">
                  <c:v>44.375</c:v>
                </c:pt>
                <c:pt idx="116">
                  <c:v>44.5</c:v>
                </c:pt>
                <c:pt idx="117">
                  <c:v>44.625</c:v>
                </c:pt>
                <c:pt idx="118">
                  <c:v>44.75</c:v>
                </c:pt>
                <c:pt idx="119">
                  <c:v>44.875</c:v>
                </c:pt>
                <c:pt idx="120">
                  <c:v>45</c:v>
                </c:pt>
                <c:pt idx="121">
                  <c:v>45.125</c:v>
                </c:pt>
                <c:pt idx="122">
                  <c:v>45.25</c:v>
                </c:pt>
                <c:pt idx="123">
                  <c:v>45.375</c:v>
                </c:pt>
                <c:pt idx="124">
                  <c:v>45.5</c:v>
                </c:pt>
                <c:pt idx="125">
                  <c:v>45.625</c:v>
                </c:pt>
                <c:pt idx="126">
                  <c:v>45.75</c:v>
                </c:pt>
                <c:pt idx="127">
                  <c:v>45.875</c:v>
                </c:pt>
                <c:pt idx="128">
                  <c:v>46</c:v>
                </c:pt>
                <c:pt idx="129">
                  <c:v>46.125</c:v>
                </c:pt>
                <c:pt idx="130">
                  <c:v>46.25</c:v>
                </c:pt>
                <c:pt idx="131">
                  <c:v>46.375</c:v>
                </c:pt>
                <c:pt idx="132">
                  <c:v>46.5</c:v>
                </c:pt>
                <c:pt idx="133">
                  <c:v>46.625</c:v>
                </c:pt>
                <c:pt idx="134">
                  <c:v>46.75</c:v>
                </c:pt>
                <c:pt idx="135">
                  <c:v>46.875</c:v>
                </c:pt>
                <c:pt idx="136">
                  <c:v>47</c:v>
                </c:pt>
                <c:pt idx="137">
                  <c:v>47.125</c:v>
                </c:pt>
                <c:pt idx="138">
                  <c:v>47.25</c:v>
                </c:pt>
                <c:pt idx="139">
                  <c:v>47.375</c:v>
                </c:pt>
                <c:pt idx="140">
                  <c:v>47.5</c:v>
                </c:pt>
                <c:pt idx="141">
                  <c:v>47.625</c:v>
                </c:pt>
                <c:pt idx="142">
                  <c:v>47.75</c:v>
                </c:pt>
                <c:pt idx="143">
                  <c:v>47.875</c:v>
                </c:pt>
                <c:pt idx="144">
                  <c:v>48</c:v>
                </c:pt>
                <c:pt idx="145">
                  <c:v>48.125</c:v>
                </c:pt>
                <c:pt idx="146">
                  <c:v>48.25</c:v>
                </c:pt>
                <c:pt idx="147">
                  <c:v>48.375</c:v>
                </c:pt>
                <c:pt idx="148">
                  <c:v>48.5</c:v>
                </c:pt>
                <c:pt idx="149">
                  <c:v>48.625</c:v>
                </c:pt>
                <c:pt idx="150">
                  <c:v>48.75</c:v>
                </c:pt>
                <c:pt idx="151">
                  <c:v>48.875</c:v>
                </c:pt>
                <c:pt idx="152">
                  <c:v>49</c:v>
                </c:pt>
                <c:pt idx="153">
                  <c:v>49.125</c:v>
                </c:pt>
                <c:pt idx="154">
                  <c:v>49.25</c:v>
                </c:pt>
                <c:pt idx="155">
                  <c:v>49.375</c:v>
                </c:pt>
                <c:pt idx="156">
                  <c:v>49.5</c:v>
                </c:pt>
                <c:pt idx="157">
                  <c:v>49.625</c:v>
                </c:pt>
                <c:pt idx="158">
                  <c:v>49.75</c:v>
                </c:pt>
                <c:pt idx="159">
                  <c:v>49.875</c:v>
                </c:pt>
                <c:pt idx="160">
                  <c:v>50</c:v>
                </c:pt>
                <c:pt idx="161">
                  <c:v>50.125</c:v>
                </c:pt>
                <c:pt idx="162">
                  <c:v>50.25</c:v>
                </c:pt>
                <c:pt idx="163">
                  <c:v>50.375</c:v>
                </c:pt>
                <c:pt idx="164">
                  <c:v>50.5</c:v>
                </c:pt>
                <c:pt idx="165">
                  <c:v>50.625</c:v>
                </c:pt>
                <c:pt idx="166">
                  <c:v>50.75</c:v>
                </c:pt>
                <c:pt idx="167">
                  <c:v>50.875</c:v>
                </c:pt>
                <c:pt idx="168">
                  <c:v>51</c:v>
                </c:pt>
                <c:pt idx="169">
                  <c:v>51.125</c:v>
                </c:pt>
                <c:pt idx="170">
                  <c:v>51.25</c:v>
                </c:pt>
                <c:pt idx="171">
                  <c:v>51.375</c:v>
                </c:pt>
                <c:pt idx="172">
                  <c:v>51.5</c:v>
                </c:pt>
                <c:pt idx="173">
                  <c:v>51.625</c:v>
                </c:pt>
                <c:pt idx="174">
                  <c:v>51.75</c:v>
                </c:pt>
                <c:pt idx="175">
                  <c:v>51.875</c:v>
                </c:pt>
                <c:pt idx="176">
                  <c:v>52</c:v>
                </c:pt>
                <c:pt idx="177">
                  <c:v>52.125</c:v>
                </c:pt>
                <c:pt idx="178">
                  <c:v>52.25</c:v>
                </c:pt>
                <c:pt idx="179">
                  <c:v>52.375</c:v>
                </c:pt>
                <c:pt idx="180">
                  <c:v>52.5</c:v>
                </c:pt>
                <c:pt idx="181">
                  <c:v>52.625</c:v>
                </c:pt>
                <c:pt idx="182">
                  <c:v>52.75</c:v>
                </c:pt>
                <c:pt idx="183">
                  <c:v>52.875</c:v>
                </c:pt>
                <c:pt idx="184">
                  <c:v>53</c:v>
                </c:pt>
                <c:pt idx="185">
                  <c:v>53.125</c:v>
                </c:pt>
                <c:pt idx="186">
                  <c:v>53.25</c:v>
                </c:pt>
                <c:pt idx="187">
                  <c:v>53.375</c:v>
                </c:pt>
                <c:pt idx="188">
                  <c:v>53.5</c:v>
                </c:pt>
                <c:pt idx="189">
                  <c:v>53.625</c:v>
                </c:pt>
                <c:pt idx="190">
                  <c:v>53.75</c:v>
                </c:pt>
                <c:pt idx="191">
                  <c:v>53.875</c:v>
                </c:pt>
                <c:pt idx="192">
                  <c:v>54</c:v>
                </c:pt>
                <c:pt idx="193">
                  <c:v>54.125</c:v>
                </c:pt>
                <c:pt idx="194">
                  <c:v>54.25</c:v>
                </c:pt>
                <c:pt idx="195">
                  <c:v>54.375</c:v>
                </c:pt>
                <c:pt idx="196">
                  <c:v>54.5</c:v>
                </c:pt>
                <c:pt idx="197">
                  <c:v>54.625</c:v>
                </c:pt>
                <c:pt idx="198">
                  <c:v>54.75</c:v>
                </c:pt>
                <c:pt idx="199">
                  <c:v>54.875</c:v>
                </c:pt>
                <c:pt idx="200">
                  <c:v>55</c:v>
                </c:pt>
                <c:pt idx="201">
                  <c:v>55.125</c:v>
                </c:pt>
                <c:pt idx="202">
                  <c:v>55.25</c:v>
                </c:pt>
                <c:pt idx="203">
                  <c:v>55.375</c:v>
                </c:pt>
                <c:pt idx="204">
                  <c:v>55.5</c:v>
                </c:pt>
                <c:pt idx="205">
                  <c:v>55.625</c:v>
                </c:pt>
                <c:pt idx="206">
                  <c:v>55.75</c:v>
                </c:pt>
                <c:pt idx="207">
                  <c:v>55.875</c:v>
                </c:pt>
                <c:pt idx="208">
                  <c:v>56</c:v>
                </c:pt>
                <c:pt idx="209">
                  <c:v>56.125</c:v>
                </c:pt>
                <c:pt idx="210">
                  <c:v>56.25</c:v>
                </c:pt>
                <c:pt idx="211">
                  <c:v>56.375</c:v>
                </c:pt>
                <c:pt idx="212">
                  <c:v>56.5</c:v>
                </c:pt>
                <c:pt idx="213">
                  <c:v>56.625</c:v>
                </c:pt>
                <c:pt idx="214">
                  <c:v>56.75</c:v>
                </c:pt>
                <c:pt idx="215">
                  <c:v>56.875</c:v>
                </c:pt>
                <c:pt idx="216">
                  <c:v>57</c:v>
                </c:pt>
                <c:pt idx="217">
                  <c:v>57.125</c:v>
                </c:pt>
                <c:pt idx="218">
                  <c:v>57.25</c:v>
                </c:pt>
                <c:pt idx="219">
                  <c:v>57.375</c:v>
                </c:pt>
                <c:pt idx="220">
                  <c:v>57.5</c:v>
                </c:pt>
                <c:pt idx="221">
                  <c:v>57.625</c:v>
                </c:pt>
                <c:pt idx="222">
                  <c:v>57.75</c:v>
                </c:pt>
                <c:pt idx="223">
                  <c:v>57.875</c:v>
                </c:pt>
                <c:pt idx="224">
                  <c:v>58</c:v>
                </c:pt>
                <c:pt idx="225">
                  <c:v>58.125</c:v>
                </c:pt>
                <c:pt idx="226">
                  <c:v>58.25</c:v>
                </c:pt>
                <c:pt idx="227">
                  <c:v>58.375</c:v>
                </c:pt>
                <c:pt idx="228">
                  <c:v>58.5</c:v>
                </c:pt>
                <c:pt idx="229">
                  <c:v>58.625</c:v>
                </c:pt>
                <c:pt idx="230">
                  <c:v>58.75</c:v>
                </c:pt>
                <c:pt idx="231">
                  <c:v>58.875</c:v>
                </c:pt>
                <c:pt idx="232">
                  <c:v>59</c:v>
                </c:pt>
                <c:pt idx="233">
                  <c:v>59.125</c:v>
                </c:pt>
                <c:pt idx="234">
                  <c:v>59.25</c:v>
                </c:pt>
                <c:pt idx="235">
                  <c:v>59.375</c:v>
                </c:pt>
                <c:pt idx="236">
                  <c:v>59.5</c:v>
                </c:pt>
                <c:pt idx="237">
                  <c:v>59.625</c:v>
                </c:pt>
                <c:pt idx="238">
                  <c:v>59.75</c:v>
                </c:pt>
                <c:pt idx="239">
                  <c:v>59.875</c:v>
                </c:pt>
                <c:pt idx="240">
                  <c:v>60</c:v>
                </c:pt>
                <c:pt idx="241">
                  <c:v>60.125</c:v>
                </c:pt>
                <c:pt idx="242">
                  <c:v>60.25</c:v>
                </c:pt>
                <c:pt idx="243">
                  <c:v>60.375</c:v>
                </c:pt>
                <c:pt idx="244">
                  <c:v>60.5</c:v>
                </c:pt>
                <c:pt idx="245">
                  <c:v>60.625</c:v>
                </c:pt>
                <c:pt idx="246">
                  <c:v>60.75</c:v>
                </c:pt>
                <c:pt idx="247">
                  <c:v>60.875</c:v>
                </c:pt>
                <c:pt idx="248">
                  <c:v>61</c:v>
                </c:pt>
                <c:pt idx="249">
                  <c:v>61.125</c:v>
                </c:pt>
                <c:pt idx="250">
                  <c:v>61.25</c:v>
                </c:pt>
                <c:pt idx="251">
                  <c:v>61.375</c:v>
                </c:pt>
                <c:pt idx="252">
                  <c:v>61.5</c:v>
                </c:pt>
                <c:pt idx="253">
                  <c:v>61.625</c:v>
                </c:pt>
                <c:pt idx="254">
                  <c:v>61.75</c:v>
                </c:pt>
                <c:pt idx="255">
                  <c:v>61.875</c:v>
                </c:pt>
                <c:pt idx="256">
                  <c:v>62</c:v>
                </c:pt>
                <c:pt idx="257">
                  <c:v>62.125</c:v>
                </c:pt>
                <c:pt idx="258">
                  <c:v>62.25</c:v>
                </c:pt>
                <c:pt idx="259">
                  <c:v>62.375</c:v>
                </c:pt>
                <c:pt idx="260">
                  <c:v>62.5</c:v>
                </c:pt>
                <c:pt idx="261">
                  <c:v>62.625</c:v>
                </c:pt>
                <c:pt idx="262">
                  <c:v>62.75</c:v>
                </c:pt>
                <c:pt idx="263">
                  <c:v>62.875</c:v>
                </c:pt>
                <c:pt idx="264">
                  <c:v>63</c:v>
                </c:pt>
                <c:pt idx="265">
                  <c:v>63.125</c:v>
                </c:pt>
                <c:pt idx="266">
                  <c:v>63.25</c:v>
                </c:pt>
                <c:pt idx="267">
                  <c:v>63.375</c:v>
                </c:pt>
                <c:pt idx="268">
                  <c:v>63.5</c:v>
                </c:pt>
                <c:pt idx="269">
                  <c:v>63.625</c:v>
                </c:pt>
                <c:pt idx="270">
                  <c:v>63.75</c:v>
                </c:pt>
                <c:pt idx="271">
                  <c:v>63.875</c:v>
                </c:pt>
                <c:pt idx="272">
                  <c:v>64</c:v>
                </c:pt>
                <c:pt idx="273">
                  <c:v>64.125</c:v>
                </c:pt>
                <c:pt idx="274">
                  <c:v>64.25</c:v>
                </c:pt>
                <c:pt idx="275">
                  <c:v>64.375</c:v>
                </c:pt>
                <c:pt idx="276">
                  <c:v>64.5</c:v>
                </c:pt>
                <c:pt idx="277">
                  <c:v>64.625</c:v>
                </c:pt>
                <c:pt idx="278">
                  <c:v>64.75</c:v>
                </c:pt>
                <c:pt idx="279">
                  <c:v>64.875</c:v>
                </c:pt>
                <c:pt idx="280">
                  <c:v>65</c:v>
                </c:pt>
                <c:pt idx="281">
                  <c:v>65.125</c:v>
                </c:pt>
                <c:pt idx="282">
                  <c:v>65.25</c:v>
                </c:pt>
                <c:pt idx="283">
                  <c:v>65.375</c:v>
                </c:pt>
                <c:pt idx="284">
                  <c:v>65.5</c:v>
                </c:pt>
                <c:pt idx="285">
                  <c:v>65.625</c:v>
                </c:pt>
                <c:pt idx="286">
                  <c:v>65.75</c:v>
                </c:pt>
                <c:pt idx="287">
                  <c:v>65.875</c:v>
                </c:pt>
                <c:pt idx="288">
                  <c:v>66</c:v>
                </c:pt>
                <c:pt idx="289">
                  <c:v>66.125</c:v>
                </c:pt>
                <c:pt idx="290">
                  <c:v>66.25</c:v>
                </c:pt>
                <c:pt idx="291">
                  <c:v>66.375</c:v>
                </c:pt>
                <c:pt idx="292">
                  <c:v>66.5</c:v>
                </c:pt>
                <c:pt idx="293">
                  <c:v>66.625</c:v>
                </c:pt>
                <c:pt idx="294">
                  <c:v>66.75</c:v>
                </c:pt>
                <c:pt idx="295">
                  <c:v>66.875</c:v>
                </c:pt>
                <c:pt idx="296">
                  <c:v>67</c:v>
                </c:pt>
                <c:pt idx="297">
                  <c:v>67.125</c:v>
                </c:pt>
                <c:pt idx="298">
                  <c:v>67.25</c:v>
                </c:pt>
                <c:pt idx="299">
                  <c:v>67.375</c:v>
                </c:pt>
                <c:pt idx="300">
                  <c:v>67.5</c:v>
                </c:pt>
                <c:pt idx="301">
                  <c:v>67.625</c:v>
                </c:pt>
                <c:pt idx="302">
                  <c:v>67.75</c:v>
                </c:pt>
                <c:pt idx="303">
                  <c:v>67.875</c:v>
                </c:pt>
                <c:pt idx="304">
                  <c:v>68</c:v>
                </c:pt>
                <c:pt idx="305">
                  <c:v>68.125</c:v>
                </c:pt>
                <c:pt idx="306">
                  <c:v>68.25</c:v>
                </c:pt>
                <c:pt idx="307">
                  <c:v>68.375</c:v>
                </c:pt>
                <c:pt idx="308">
                  <c:v>68.5</c:v>
                </c:pt>
                <c:pt idx="309">
                  <c:v>68.625</c:v>
                </c:pt>
                <c:pt idx="310">
                  <c:v>68.75</c:v>
                </c:pt>
                <c:pt idx="311">
                  <c:v>68.875</c:v>
                </c:pt>
                <c:pt idx="312">
                  <c:v>69</c:v>
                </c:pt>
                <c:pt idx="313">
                  <c:v>69.125</c:v>
                </c:pt>
                <c:pt idx="314">
                  <c:v>69.25</c:v>
                </c:pt>
                <c:pt idx="315">
                  <c:v>69.375</c:v>
                </c:pt>
                <c:pt idx="316">
                  <c:v>69.5</c:v>
                </c:pt>
                <c:pt idx="317">
                  <c:v>69.625</c:v>
                </c:pt>
                <c:pt idx="318">
                  <c:v>69.75</c:v>
                </c:pt>
                <c:pt idx="319">
                  <c:v>69.875</c:v>
                </c:pt>
                <c:pt idx="320">
                  <c:v>70</c:v>
                </c:pt>
                <c:pt idx="321">
                  <c:v>70.125</c:v>
                </c:pt>
                <c:pt idx="322">
                  <c:v>70.25</c:v>
                </c:pt>
                <c:pt idx="323">
                  <c:v>70.375</c:v>
                </c:pt>
                <c:pt idx="324">
                  <c:v>70.5</c:v>
                </c:pt>
                <c:pt idx="325">
                  <c:v>70.625</c:v>
                </c:pt>
                <c:pt idx="326">
                  <c:v>70.75</c:v>
                </c:pt>
                <c:pt idx="327">
                  <c:v>70.875</c:v>
                </c:pt>
                <c:pt idx="328">
                  <c:v>71</c:v>
                </c:pt>
                <c:pt idx="329">
                  <c:v>71.125</c:v>
                </c:pt>
                <c:pt idx="330">
                  <c:v>71.25</c:v>
                </c:pt>
                <c:pt idx="331">
                  <c:v>71.375</c:v>
                </c:pt>
                <c:pt idx="332">
                  <c:v>71.5</c:v>
                </c:pt>
                <c:pt idx="333">
                  <c:v>71.625</c:v>
                </c:pt>
                <c:pt idx="334">
                  <c:v>71.75</c:v>
                </c:pt>
                <c:pt idx="335">
                  <c:v>71.875</c:v>
                </c:pt>
                <c:pt idx="336">
                  <c:v>72</c:v>
                </c:pt>
                <c:pt idx="337">
                  <c:v>72.125</c:v>
                </c:pt>
                <c:pt idx="338">
                  <c:v>72.25</c:v>
                </c:pt>
                <c:pt idx="339">
                  <c:v>72.375</c:v>
                </c:pt>
                <c:pt idx="340">
                  <c:v>72.5</c:v>
                </c:pt>
                <c:pt idx="341">
                  <c:v>72.625</c:v>
                </c:pt>
                <c:pt idx="342">
                  <c:v>72.75</c:v>
                </c:pt>
                <c:pt idx="343">
                  <c:v>72.875</c:v>
                </c:pt>
                <c:pt idx="344">
                  <c:v>73</c:v>
                </c:pt>
                <c:pt idx="345">
                  <c:v>73.125</c:v>
                </c:pt>
                <c:pt idx="346">
                  <c:v>73.25</c:v>
                </c:pt>
                <c:pt idx="347">
                  <c:v>73.375</c:v>
                </c:pt>
                <c:pt idx="348">
                  <c:v>73.5</c:v>
                </c:pt>
                <c:pt idx="349">
                  <c:v>73.625</c:v>
                </c:pt>
                <c:pt idx="350">
                  <c:v>73.75</c:v>
                </c:pt>
                <c:pt idx="351">
                  <c:v>73.875</c:v>
                </c:pt>
                <c:pt idx="352">
                  <c:v>74</c:v>
                </c:pt>
                <c:pt idx="353">
                  <c:v>74.125</c:v>
                </c:pt>
                <c:pt idx="354">
                  <c:v>74.25</c:v>
                </c:pt>
                <c:pt idx="355">
                  <c:v>74.375</c:v>
                </c:pt>
                <c:pt idx="356">
                  <c:v>74.5</c:v>
                </c:pt>
                <c:pt idx="357">
                  <c:v>74.625</c:v>
                </c:pt>
                <c:pt idx="358">
                  <c:v>74.75</c:v>
                </c:pt>
                <c:pt idx="359">
                  <c:v>74.875</c:v>
                </c:pt>
                <c:pt idx="360">
                  <c:v>75</c:v>
                </c:pt>
                <c:pt idx="361">
                  <c:v>75.125</c:v>
                </c:pt>
                <c:pt idx="362">
                  <c:v>75.25</c:v>
                </c:pt>
                <c:pt idx="363">
                  <c:v>75.375</c:v>
                </c:pt>
                <c:pt idx="364">
                  <c:v>75.5</c:v>
                </c:pt>
                <c:pt idx="365">
                  <c:v>75.625</c:v>
                </c:pt>
                <c:pt idx="366">
                  <c:v>75.75</c:v>
                </c:pt>
                <c:pt idx="367">
                  <c:v>75.875</c:v>
                </c:pt>
                <c:pt idx="368">
                  <c:v>76</c:v>
                </c:pt>
                <c:pt idx="369">
                  <c:v>76.125</c:v>
                </c:pt>
                <c:pt idx="370">
                  <c:v>76.25</c:v>
                </c:pt>
                <c:pt idx="371">
                  <c:v>76.375</c:v>
                </c:pt>
                <c:pt idx="372">
                  <c:v>76.5</c:v>
                </c:pt>
                <c:pt idx="373">
                  <c:v>76.625</c:v>
                </c:pt>
                <c:pt idx="374">
                  <c:v>76.75</c:v>
                </c:pt>
                <c:pt idx="375">
                  <c:v>76.875</c:v>
                </c:pt>
                <c:pt idx="376">
                  <c:v>77</c:v>
                </c:pt>
                <c:pt idx="377">
                  <c:v>77.125</c:v>
                </c:pt>
                <c:pt idx="378">
                  <c:v>77.25</c:v>
                </c:pt>
                <c:pt idx="379">
                  <c:v>77.375</c:v>
                </c:pt>
                <c:pt idx="380">
                  <c:v>77.5</c:v>
                </c:pt>
                <c:pt idx="381">
                  <c:v>77.625</c:v>
                </c:pt>
                <c:pt idx="382">
                  <c:v>77.75</c:v>
                </c:pt>
                <c:pt idx="383">
                  <c:v>77.875</c:v>
                </c:pt>
                <c:pt idx="384">
                  <c:v>78</c:v>
                </c:pt>
                <c:pt idx="385">
                  <c:v>78.125</c:v>
                </c:pt>
                <c:pt idx="386">
                  <c:v>78.25</c:v>
                </c:pt>
                <c:pt idx="387">
                  <c:v>78.375</c:v>
                </c:pt>
                <c:pt idx="388">
                  <c:v>78.5</c:v>
                </c:pt>
                <c:pt idx="389">
                  <c:v>78.625</c:v>
                </c:pt>
                <c:pt idx="390">
                  <c:v>78.75</c:v>
                </c:pt>
                <c:pt idx="391">
                  <c:v>78.875</c:v>
                </c:pt>
                <c:pt idx="392">
                  <c:v>79</c:v>
                </c:pt>
                <c:pt idx="393">
                  <c:v>79.125</c:v>
                </c:pt>
                <c:pt idx="394">
                  <c:v>79.25</c:v>
                </c:pt>
                <c:pt idx="395">
                  <c:v>79.375</c:v>
                </c:pt>
                <c:pt idx="396">
                  <c:v>79.5</c:v>
                </c:pt>
                <c:pt idx="397">
                  <c:v>79.625</c:v>
                </c:pt>
                <c:pt idx="398">
                  <c:v>79.75</c:v>
                </c:pt>
                <c:pt idx="399">
                  <c:v>79.875</c:v>
                </c:pt>
                <c:pt idx="400">
                  <c:v>80</c:v>
                </c:pt>
                <c:pt idx="401">
                  <c:v>80.125</c:v>
                </c:pt>
                <c:pt idx="402">
                  <c:v>80.25</c:v>
                </c:pt>
                <c:pt idx="403">
                  <c:v>80.375</c:v>
                </c:pt>
                <c:pt idx="404">
                  <c:v>80.5</c:v>
                </c:pt>
                <c:pt idx="405">
                  <c:v>80.625</c:v>
                </c:pt>
                <c:pt idx="406">
                  <c:v>80.75</c:v>
                </c:pt>
                <c:pt idx="407">
                  <c:v>80.875</c:v>
                </c:pt>
                <c:pt idx="408">
                  <c:v>81</c:v>
                </c:pt>
                <c:pt idx="409">
                  <c:v>81.125</c:v>
                </c:pt>
                <c:pt idx="410">
                  <c:v>81.25</c:v>
                </c:pt>
                <c:pt idx="411">
                  <c:v>81.375</c:v>
                </c:pt>
                <c:pt idx="412">
                  <c:v>81.5</c:v>
                </c:pt>
                <c:pt idx="413">
                  <c:v>81.625</c:v>
                </c:pt>
                <c:pt idx="414">
                  <c:v>81.75</c:v>
                </c:pt>
                <c:pt idx="415">
                  <c:v>81.875</c:v>
                </c:pt>
                <c:pt idx="416">
                  <c:v>82</c:v>
                </c:pt>
                <c:pt idx="417">
                  <c:v>82.125</c:v>
                </c:pt>
                <c:pt idx="418">
                  <c:v>82.25</c:v>
                </c:pt>
                <c:pt idx="419">
                  <c:v>82.375</c:v>
                </c:pt>
                <c:pt idx="420">
                  <c:v>82.5</c:v>
                </c:pt>
                <c:pt idx="421">
                  <c:v>82.625</c:v>
                </c:pt>
                <c:pt idx="422">
                  <c:v>82.75</c:v>
                </c:pt>
                <c:pt idx="423">
                  <c:v>82.875</c:v>
                </c:pt>
                <c:pt idx="424">
                  <c:v>83</c:v>
                </c:pt>
                <c:pt idx="425">
                  <c:v>83.125</c:v>
                </c:pt>
                <c:pt idx="426">
                  <c:v>83.25</c:v>
                </c:pt>
                <c:pt idx="427">
                  <c:v>83.375</c:v>
                </c:pt>
                <c:pt idx="428">
                  <c:v>83.5</c:v>
                </c:pt>
                <c:pt idx="429">
                  <c:v>83.625</c:v>
                </c:pt>
                <c:pt idx="430">
                  <c:v>83.75</c:v>
                </c:pt>
                <c:pt idx="431">
                  <c:v>83.875</c:v>
                </c:pt>
                <c:pt idx="432">
                  <c:v>84</c:v>
                </c:pt>
                <c:pt idx="433">
                  <c:v>84.125</c:v>
                </c:pt>
                <c:pt idx="434">
                  <c:v>84.25</c:v>
                </c:pt>
                <c:pt idx="435">
                  <c:v>84.375</c:v>
                </c:pt>
                <c:pt idx="436">
                  <c:v>84.5</c:v>
                </c:pt>
                <c:pt idx="437">
                  <c:v>84.625</c:v>
                </c:pt>
                <c:pt idx="438">
                  <c:v>84.75</c:v>
                </c:pt>
                <c:pt idx="439">
                  <c:v>84.875</c:v>
                </c:pt>
                <c:pt idx="440">
                  <c:v>85</c:v>
                </c:pt>
                <c:pt idx="441">
                  <c:v>85.125</c:v>
                </c:pt>
                <c:pt idx="442">
                  <c:v>85.25</c:v>
                </c:pt>
                <c:pt idx="443">
                  <c:v>85.375</c:v>
                </c:pt>
                <c:pt idx="444">
                  <c:v>85.5</c:v>
                </c:pt>
                <c:pt idx="445">
                  <c:v>85.625</c:v>
                </c:pt>
                <c:pt idx="446">
                  <c:v>85.75</c:v>
                </c:pt>
                <c:pt idx="447">
                  <c:v>85.875</c:v>
                </c:pt>
                <c:pt idx="448">
                  <c:v>86</c:v>
                </c:pt>
                <c:pt idx="449">
                  <c:v>86.125</c:v>
                </c:pt>
                <c:pt idx="450">
                  <c:v>86.25</c:v>
                </c:pt>
                <c:pt idx="451">
                  <c:v>86.375</c:v>
                </c:pt>
                <c:pt idx="452">
                  <c:v>86.5</c:v>
                </c:pt>
                <c:pt idx="453">
                  <c:v>86.625</c:v>
                </c:pt>
                <c:pt idx="454">
                  <c:v>86.75</c:v>
                </c:pt>
                <c:pt idx="455">
                  <c:v>86.875</c:v>
                </c:pt>
                <c:pt idx="456">
                  <c:v>87</c:v>
                </c:pt>
                <c:pt idx="457">
                  <c:v>87.125</c:v>
                </c:pt>
                <c:pt idx="458">
                  <c:v>87.25</c:v>
                </c:pt>
                <c:pt idx="459">
                  <c:v>87.375</c:v>
                </c:pt>
                <c:pt idx="460">
                  <c:v>87.5</c:v>
                </c:pt>
                <c:pt idx="461">
                  <c:v>87.625</c:v>
                </c:pt>
                <c:pt idx="462">
                  <c:v>87.75</c:v>
                </c:pt>
                <c:pt idx="463">
                  <c:v>87.875</c:v>
                </c:pt>
                <c:pt idx="464">
                  <c:v>88</c:v>
                </c:pt>
                <c:pt idx="465">
                  <c:v>88.125</c:v>
                </c:pt>
                <c:pt idx="466">
                  <c:v>88.25</c:v>
                </c:pt>
                <c:pt idx="467">
                  <c:v>88.375</c:v>
                </c:pt>
                <c:pt idx="468">
                  <c:v>88.5</c:v>
                </c:pt>
                <c:pt idx="469">
                  <c:v>88.625</c:v>
                </c:pt>
                <c:pt idx="470">
                  <c:v>88.75</c:v>
                </c:pt>
                <c:pt idx="471">
                  <c:v>88.875</c:v>
                </c:pt>
                <c:pt idx="472">
                  <c:v>89</c:v>
                </c:pt>
                <c:pt idx="473">
                  <c:v>89.125</c:v>
                </c:pt>
                <c:pt idx="474">
                  <c:v>89.25</c:v>
                </c:pt>
                <c:pt idx="475">
                  <c:v>89.375</c:v>
                </c:pt>
                <c:pt idx="476">
                  <c:v>89.5</c:v>
                </c:pt>
                <c:pt idx="477">
                  <c:v>89.625</c:v>
                </c:pt>
                <c:pt idx="478">
                  <c:v>89.75</c:v>
                </c:pt>
                <c:pt idx="479">
                  <c:v>89.875</c:v>
                </c:pt>
                <c:pt idx="480">
                  <c:v>90</c:v>
                </c:pt>
                <c:pt idx="481">
                  <c:v>90.125</c:v>
                </c:pt>
                <c:pt idx="482">
                  <c:v>90.25</c:v>
                </c:pt>
                <c:pt idx="483">
                  <c:v>90.375</c:v>
                </c:pt>
                <c:pt idx="484">
                  <c:v>90.5</c:v>
                </c:pt>
                <c:pt idx="485">
                  <c:v>90.625</c:v>
                </c:pt>
                <c:pt idx="486">
                  <c:v>90.75</c:v>
                </c:pt>
                <c:pt idx="487">
                  <c:v>90.875</c:v>
                </c:pt>
                <c:pt idx="488">
                  <c:v>91</c:v>
                </c:pt>
                <c:pt idx="489">
                  <c:v>91.125</c:v>
                </c:pt>
                <c:pt idx="490">
                  <c:v>91.25</c:v>
                </c:pt>
                <c:pt idx="491">
                  <c:v>91.375</c:v>
                </c:pt>
                <c:pt idx="492">
                  <c:v>91.5</c:v>
                </c:pt>
                <c:pt idx="493">
                  <c:v>91.625</c:v>
                </c:pt>
                <c:pt idx="494">
                  <c:v>91.75</c:v>
                </c:pt>
                <c:pt idx="495">
                  <c:v>91.875</c:v>
                </c:pt>
                <c:pt idx="496">
                  <c:v>92</c:v>
                </c:pt>
                <c:pt idx="497">
                  <c:v>92.125</c:v>
                </c:pt>
                <c:pt idx="498">
                  <c:v>92.25</c:v>
                </c:pt>
                <c:pt idx="499">
                  <c:v>92.375</c:v>
                </c:pt>
                <c:pt idx="500">
                  <c:v>92.5</c:v>
                </c:pt>
                <c:pt idx="501">
                  <c:v>92.625</c:v>
                </c:pt>
                <c:pt idx="502">
                  <c:v>92.75</c:v>
                </c:pt>
                <c:pt idx="503">
                  <c:v>92.875</c:v>
                </c:pt>
                <c:pt idx="504">
                  <c:v>93</c:v>
                </c:pt>
                <c:pt idx="505">
                  <c:v>93.125</c:v>
                </c:pt>
                <c:pt idx="506">
                  <c:v>93.25</c:v>
                </c:pt>
                <c:pt idx="507">
                  <c:v>93.375</c:v>
                </c:pt>
                <c:pt idx="508">
                  <c:v>93.5</c:v>
                </c:pt>
                <c:pt idx="509">
                  <c:v>93.625</c:v>
                </c:pt>
                <c:pt idx="510">
                  <c:v>93.75</c:v>
                </c:pt>
                <c:pt idx="511">
                  <c:v>93.875</c:v>
                </c:pt>
                <c:pt idx="512">
                  <c:v>94</c:v>
                </c:pt>
                <c:pt idx="513">
                  <c:v>94.125</c:v>
                </c:pt>
                <c:pt idx="514">
                  <c:v>94.25</c:v>
                </c:pt>
                <c:pt idx="515">
                  <c:v>94.375</c:v>
                </c:pt>
                <c:pt idx="516">
                  <c:v>94.5</c:v>
                </c:pt>
                <c:pt idx="517">
                  <c:v>94.625</c:v>
                </c:pt>
                <c:pt idx="518">
                  <c:v>94.75</c:v>
                </c:pt>
                <c:pt idx="519">
                  <c:v>94.875</c:v>
                </c:pt>
                <c:pt idx="520">
                  <c:v>95</c:v>
                </c:pt>
                <c:pt idx="521">
                  <c:v>95.125</c:v>
                </c:pt>
                <c:pt idx="522">
                  <c:v>95.25</c:v>
                </c:pt>
                <c:pt idx="523">
                  <c:v>95.375</c:v>
                </c:pt>
                <c:pt idx="524">
                  <c:v>95.5</c:v>
                </c:pt>
                <c:pt idx="525">
                  <c:v>95.625</c:v>
                </c:pt>
                <c:pt idx="526">
                  <c:v>95.75</c:v>
                </c:pt>
                <c:pt idx="527">
                  <c:v>95.875</c:v>
                </c:pt>
                <c:pt idx="528">
                  <c:v>96</c:v>
                </c:pt>
                <c:pt idx="529">
                  <c:v>96.125</c:v>
                </c:pt>
                <c:pt idx="530">
                  <c:v>96.25</c:v>
                </c:pt>
                <c:pt idx="531">
                  <c:v>96.375</c:v>
                </c:pt>
                <c:pt idx="532">
                  <c:v>96.5</c:v>
                </c:pt>
                <c:pt idx="533">
                  <c:v>96.625</c:v>
                </c:pt>
                <c:pt idx="534">
                  <c:v>96.75</c:v>
                </c:pt>
                <c:pt idx="535">
                  <c:v>96.875</c:v>
                </c:pt>
                <c:pt idx="536">
                  <c:v>97</c:v>
                </c:pt>
                <c:pt idx="537">
                  <c:v>97.125</c:v>
                </c:pt>
                <c:pt idx="538">
                  <c:v>97.25</c:v>
                </c:pt>
                <c:pt idx="539">
                  <c:v>97.375</c:v>
                </c:pt>
                <c:pt idx="540">
                  <c:v>97.5</c:v>
                </c:pt>
                <c:pt idx="541">
                  <c:v>97.625</c:v>
                </c:pt>
                <c:pt idx="542">
                  <c:v>97.75</c:v>
                </c:pt>
                <c:pt idx="543">
                  <c:v>97.875</c:v>
                </c:pt>
                <c:pt idx="544">
                  <c:v>98</c:v>
                </c:pt>
                <c:pt idx="545">
                  <c:v>98.125</c:v>
                </c:pt>
                <c:pt idx="546">
                  <c:v>98.25</c:v>
                </c:pt>
                <c:pt idx="547">
                  <c:v>98.375</c:v>
                </c:pt>
                <c:pt idx="548">
                  <c:v>98.5</c:v>
                </c:pt>
                <c:pt idx="549">
                  <c:v>98.625</c:v>
                </c:pt>
                <c:pt idx="550">
                  <c:v>98.75</c:v>
                </c:pt>
                <c:pt idx="551">
                  <c:v>98.875</c:v>
                </c:pt>
                <c:pt idx="552">
                  <c:v>99</c:v>
                </c:pt>
                <c:pt idx="553">
                  <c:v>99.125</c:v>
                </c:pt>
                <c:pt idx="554">
                  <c:v>99.25</c:v>
                </c:pt>
                <c:pt idx="555">
                  <c:v>99.375</c:v>
                </c:pt>
                <c:pt idx="556">
                  <c:v>99.5</c:v>
                </c:pt>
                <c:pt idx="557">
                  <c:v>99.625</c:v>
                </c:pt>
                <c:pt idx="558">
                  <c:v>99.75</c:v>
                </c:pt>
                <c:pt idx="559">
                  <c:v>99.875</c:v>
                </c:pt>
                <c:pt idx="560">
                  <c:v>100</c:v>
                </c:pt>
                <c:pt idx="561">
                  <c:v>100.125</c:v>
                </c:pt>
                <c:pt idx="562">
                  <c:v>100.25</c:v>
                </c:pt>
                <c:pt idx="563">
                  <c:v>100.375</c:v>
                </c:pt>
                <c:pt idx="564">
                  <c:v>100.5</c:v>
                </c:pt>
                <c:pt idx="565">
                  <c:v>100.625</c:v>
                </c:pt>
                <c:pt idx="566">
                  <c:v>100.75</c:v>
                </c:pt>
                <c:pt idx="567">
                  <c:v>100.875</c:v>
                </c:pt>
                <c:pt idx="568">
                  <c:v>101</c:v>
                </c:pt>
                <c:pt idx="569">
                  <c:v>101.125</c:v>
                </c:pt>
                <c:pt idx="570">
                  <c:v>101.25</c:v>
                </c:pt>
                <c:pt idx="571">
                  <c:v>101.375</c:v>
                </c:pt>
                <c:pt idx="572">
                  <c:v>101.5</c:v>
                </c:pt>
                <c:pt idx="573">
                  <c:v>101.625</c:v>
                </c:pt>
                <c:pt idx="574">
                  <c:v>101.75</c:v>
                </c:pt>
                <c:pt idx="575">
                  <c:v>101.875</c:v>
                </c:pt>
                <c:pt idx="576">
                  <c:v>102</c:v>
                </c:pt>
                <c:pt idx="577">
                  <c:v>102.125</c:v>
                </c:pt>
                <c:pt idx="578">
                  <c:v>102.25</c:v>
                </c:pt>
                <c:pt idx="579">
                  <c:v>102.375</c:v>
                </c:pt>
                <c:pt idx="580">
                  <c:v>102.5</c:v>
                </c:pt>
                <c:pt idx="581">
                  <c:v>102.625</c:v>
                </c:pt>
                <c:pt idx="582">
                  <c:v>102.75</c:v>
                </c:pt>
                <c:pt idx="583">
                  <c:v>102.875</c:v>
                </c:pt>
                <c:pt idx="584">
                  <c:v>103</c:v>
                </c:pt>
                <c:pt idx="585">
                  <c:v>103.125</c:v>
                </c:pt>
                <c:pt idx="586">
                  <c:v>103.25</c:v>
                </c:pt>
                <c:pt idx="587">
                  <c:v>103.375</c:v>
                </c:pt>
                <c:pt idx="588">
                  <c:v>103.5</c:v>
                </c:pt>
                <c:pt idx="589">
                  <c:v>103.625</c:v>
                </c:pt>
                <c:pt idx="590">
                  <c:v>103.75</c:v>
                </c:pt>
                <c:pt idx="591">
                  <c:v>103.875</c:v>
                </c:pt>
                <c:pt idx="592">
                  <c:v>104</c:v>
                </c:pt>
                <c:pt idx="593">
                  <c:v>104.125</c:v>
                </c:pt>
                <c:pt idx="594">
                  <c:v>104.25</c:v>
                </c:pt>
                <c:pt idx="595">
                  <c:v>104.375</c:v>
                </c:pt>
                <c:pt idx="596">
                  <c:v>104.5</c:v>
                </c:pt>
                <c:pt idx="597">
                  <c:v>104.625</c:v>
                </c:pt>
                <c:pt idx="598">
                  <c:v>104.75</c:v>
                </c:pt>
                <c:pt idx="599">
                  <c:v>104.875</c:v>
                </c:pt>
                <c:pt idx="600">
                  <c:v>105</c:v>
                </c:pt>
                <c:pt idx="601">
                  <c:v>105.125</c:v>
                </c:pt>
                <c:pt idx="602">
                  <c:v>105.25</c:v>
                </c:pt>
                <c:pt idx="603">
                  <c:v>105.375</c:v>
                </c:pt>
                <c:pt idx="604">
                  <c:v>105.5</c:v>
                </c:pt>
                <c:pt idx="605">
                  <c:v>105.625</c:v>
                </c:pt>
                <c:pt idx="606">
                  <c:v>105.75</c:v>
                </c:pt>
                <c:pt idx="607">
                  <c:v>105.875</c:v>
                </c:pt>
                <c:pt idx="608">
                  <c:v>106</c:v>
                </c:pt>
                <c:pt idx="609">
                  <c:v>106.125</c:v>
                </c:pt>
                <c:pt idx="610">
                  <c:v>106.25</c:v>
                </c:pt>
                <c:pt idx="611">
                  <c:v>106.375</c:v>
                </c:pt>
                <c:pt idx="612">
                  <c:v>106.5</c:v>
                </c:pt>
                <c:pt idx="613">
                  <c:v>106.625</c:v>
                </c:pt>
                <c:pt idx="614">
                  <c:v>106.75</c:v>
                </c:pt>
                <c:pt idx="615">
                  <c:v>106.875</c:v>
                </c:pt>
                <c:pt idx="616">
                  <c:v>107</c:v>
                </c:pt>
                <c:pt idx="617">
                  <c:v>107.125</c:v>
                </c:pt>
                <c:pt idx="618">
                  <c:v>107.25</c:v>
                </c:pt>
                <c:pt idx="619">
                  <c:v>107.375</c:v>
                </c:pt>
                <c:pt idx="620">
                  <c:v>107.5</c:v>
                </c:pt>
                <c:pt idx="621">
                  <c:v>107.625</c:v>
                </c:pt>
                <c:pt idx="622">
                  <c:v>107.75</c:v>
                </c:pt>
                <c:pt idx="623">
                  <c:v>107.875</c:v>
                </c:pt>
                <c:pt idx="624">
                  <c:v>108</c:v>
                </c:pt>
                <c:pt idx="625">
                  <c:v>108.125</c:v>
                </c:pt>
                <c:pt idx="626">
                  <c:v>108.25</c:v>
                </c:pt>
                <c:pt idx="627">
                  <c:v>108.375</c:v>
                </c:pt>
                <c:pt idx="628">
                  <c:v>108.5</c:v>
                </c:pt>
                <c:pt idx="629">
                  <c:v>108.625</c:v>
                </c:pt>
                <c:pt idx="630">
                  <c:v>108.75</c:v>
                </c:pt>
                <c:pt idx="631">
                  <c:v>108.875</c:v>
                </c:pt>
                <c:pt idx="632">
                  <c:v>109</c:v>
                </c:pt>
                <c:pt idx="633">
                  <c:v>109.125</c:v>
                </c:pt>
                <c:pt idx="634">
                  <c:v>109.25</c:v>
                </c:pt>
                <c:pt idx="635">
                  <c:v>109.375</c:v>
                </c:pt>
                <c:pt idx="636">
                  <c:v>109.5</c:v>
                </c:pt>
                <c:pt idx="637">
                  <c:v>109.625</c:v>
                </c:pt>
                <c:pt idx="638">
                  <c:v>109.75</c:v>
                </c:pt>
                <c:pt idx="639">
                  <c:v>109.875</c:v>
                </c:pt>
                <c:pt idx="640">
                  <c:v>110</c:v>
                </c:pt>
                <c:pt idx="641">
                  <c:v>110.125</c:v>
                </c:pt>
                <c:pt idx="642">
                  <c:v>110.25</c:v>
                </c:pt>
                <c:pt idx="643">
                  <c:v>110.375</c:v>
                </c:pt>
                <c:pt idx="644">
                  <c:v>110.5</c:v>
                </c:pt>
                <c:pt idx="645">
                  <c:v>110.625</c:v>
                </c:pt>
                <c:pt idx="646">
                  <c:v>110.75</c:v>
                </c:pt>
                <c:pt idx="647">
                  <c:v>110.875</c:v>
                </c:pt>
                <c:pt idx="648">
                  <c:v>111</c:v>
                </c:pt>
                <c:pt idx="649">
                  <c:v>111.125</c:v>
                </c:pt>
                <c:pt idx="650">
                  <c:v>111.25</c:v>
                </c:pt>
                <c:pt idx="651">
                  <c:v>111.375</c:v>
                </c:pt>
                <c:pt idx="652">
                  <c:v>111.5</c:v>
                </c:pt>
                <c:pt idx="653">
                  <c:v>111.625</c:v>
                </c:pt>
                <c:pt idx="654">
                  <c:v>111.75</c:v>
                </c:pt>
                <c:pt idx="655">
                  <c:v>111.875</c:v>
                </c:pt>
                <c:pt idx="656">
                  <c:v>112</c:v>
                </c:pt>
                <c:pt idx="657">
                  <c:v>112.125</c:v>
                </c:pt>
                <c:pt idx="658">
                  <c:v>112.25</c:v>
                </c:pt>
                <c:pt idx="659">
                  <c:v>112.375</c:v>
                </c:pt>
                <c:pt idx="660">
                  <c:v>112.5</c:v>
                </c:pt>
                <c:pt idx="661">
                  <c:v>112.625</c:v>
                </c:pt>
                <c:pt idx="662">
                  <c:v>112.75</c:v>
                </c:pt>
                <c:pt idx="663">
                  <c:v>112.875</c:v>
                </c:pt>
                <c:pt idx="664">
                  <c:v>113</c:v>
                </c:pt>
                <c:pt idx="665">
                  <c:v>113.125</c:v>
                </c:pt>
                <c:pt idx="666">
                  <c:v>113.25</c:v>
                </c:pt>
                <c:pt idx="667">
                  <c:v>113.375</c:v>
                </c:pt>
                <c:pt idx="668">
                  <c:v>113.5</c:v>
                </c:pt>
                <c:pt idx="669">
                  <c:v>113.625</c:v>
                </c:pt>
                <c:pt idx="670">
                  <c:v>113.75</c:v>
                </c:pt>
                <c:pt idx="671">
                  <c:v>113.875</c:v>
                </c:pt>
                <c:pt idx="672">
                  <c:v>114</c:v>
                </c:pt>
                <c:pt idx="673">
                  <c:v>114.125</c:v>
                </c:pt>
                <c:pt idx="674">
                  <c:v>114.25</c:v>
                </c:pt>
                <c:pt idx="675">
                  <c:v>114.375</c:v>
                </c:pt>
                <c:pt idx="676">
                  <c:v>114.5</c:v>
                </c:pt>
                <c:pt idx="677">
                  <c:v>114.625</c:v>
                </c:pt>
                <c:pt idx="678">
                  <c:v>114.75</c:v>
                </c:pt>
                <c:pt idx="679">
                  <c:v>114.875</c:v>
                </c:pt>
                <c:pt idx="680">
                  <c:v>115</c:v>
                </c:pt>
                <c:pt idx="681">
                  <c:v>115.125</c:v>
                </c:pt>
                <c:pt idx="682">
                  <c:v>115.25</c:v>
                </c:pt>
                <c:pt idx="683">
                  <c:v>115.375</c:v>
                </c:pt>
                <c:pt idx="684">
                  <c:v>115.5</c:v>
                </c:pt>
                <c:pt idx="685">
                  <c:v>115.625</c:v>
                </c:pt>
                <c:pt idx="686">
                  <c:v>115.75</c:v>
                </c:pt>
                <c:pt idx="687">
                  <c:v>115.875</c:v>
                </c:pt>
                <c:pt idx="688">
                  <c:v>116</c:v>
                </c:pt>
                <c:pt idx="689">
                  <c:v>116.125</c:v>
                </c:pt>
                <c:pt idx="690">
                  <c:v>116.25</c:v>
                </c:pt>
                <c:pt idx="691">
                  <c:v>116.375</c:v>
                </c:pt>
                <c:pt idx="692">
                  <c:v>116.5</c:v>
                </c:pt>
                <c:pt idx="693">
                  <c:v>116.625</c:v>
                </c:pt>
                <c:pt idx="694">
                  <c:v>116.75</c:v>
                </c:pt>
                <c:pt idx="695">
                  <c:v>116.875</c:v>
                </c:pt>
                <c:pt idx="696">
                  <c:v>117</c:v>
                </c:pt>
                <c:pt idx="697">
                  <c:v>117.125</c:v>
                </c:pt>
                <c:pt idx="698">
                  <c:v>117.25</c:v>
                </c:pt>
                <c:pt idx="699">
                  <c:v>117.375</c:v>
                </c:pt>
                <c:pt idx="700">
                  <c:v>117.5</c:v>
                </c:pt>
                <c:pt idx="701">
                  <c:v>117.625</c:v>
                </c:pt>
                <c:pt idx="702">
                  <c:v>117.75</c:v>
                </c:pt>
                <c:pt idx="703">
                  <c:v>117.875</c:v>
                </c:pt>
                <c:pt idx="704">
                  <c:v>118</c:v>
                </c:pt>
                <c:pt idx="705">
                  <c:v>118.125</c:v>
                </c:pt>
                <c:pt idx="706">
                  <c:v>118.25</c:v>
                </c:pt>
                <c:pt idx="707">
                  <c:v>118.375</c:v>
                </c:pt>
                <c:pt idx="708">
                  <c:v>118.5</c:v>
                </c:pt>
                <c:pt idx="709">
                  <c:v>118.625</c:v>
                </c:pt>
                <c:pt idx="710">
                  <c:v>118.75</c:v>
                </c:pt>
                <c:pt idx="711">
                  <c:v>118.875</c:v>
                </c:pt>
                <c:pt idx="712">
                  <c:v>119</c:v>
                </c:pt>
                <c:pt idx="713">
                  <c:v>119.125</c:v>
                </c:pt>
                <c:pt idx="714">
                  <c:v>119.25</c:v>
                </c:pt>
                <c:pt idx="715">
                  <c:v>119.375</c:v>
                </c:pt>
                <c:pt idx="716">
                  <c:v>119.5</c:v>
                </c:pt>
                <c:pt idx="717">
                  <c:v>119.625</c:v>
                </c:pt>
                <c:pt idx="718">
                  <c:v>119.75</c:v>
                </c:pt>
                <c:pt idx="719">
                  <c:v>119.875</c:v>
                </c:pt>
                <c:pt idx="720">
                  <c:v>120</c:v>
                </c:pt>
                <c:pt idx="721">
                  <c:v>120.125</c:v>
                </c:pt>
                <c:pt idx="722">
                  <c:v>120.25</c:v>
                </c:pt>
                <c:pt idx="723">
                  <c:v>120.375</c:v>
                </c:pt>
                <c:pt idx="724">
                  <c:v>120.5</c:v>
                </c:pt>
                <c:pt idx="725">
                  <c:v>120.625</c:v>
                </c:pt>
                <c:pt idx="726">
                  <c:v>120.75</c:v>
                </c:pt>
                <c:pt idx="727">
                  <c:v>120.875</c:v>
                </c:pt>
                <c:pt idx="728">
                  <c:v>121</c:v>
                </c:pt>
                <c:pt idx="729">
                  <c:v>121.125</c:v>
                </c:pt>
                <c:pt idx="730">
                  <c:v>121.25</c:v>
                </c:pt>
                <c:pt idx="731">
                  <c:v>121.375</c:v>
                </c:pt>
                <c:pt idx="732">
                  <c:v>121.5</c:v>
                </c:pt>
                <c:pt idx="733">
                  <c:v>121.625</c:v>
                </c:pt>
                <c:pt idx="734">
                  <c:v>121.75</c:v>
                </c:pt>
                <c:pt idx="735">
                  <c:v>121.875</c:v>
                </c:pt>
                <c:pt idx="736">
                  <c:v>122</c:v>
                </c:pt>
                <c:pt idx="737">
                  <c:v>122.125</c:v>
                </c:pt>
                <c:pt idx="738">
                  <c:v>122.25</c:v>
                </c:pt>
                <c:pt idx="739">
                  <c:v>122.375</c:v>
                </c:pt>
                <c:pt idx="740">
                  <c:v>122.5</c:v>
                </c:pt>
                <c:pt idx="741">
                  <c:v>122.625</c:v>
                </c:pt>
                <c:pt idx="742">
                  <c:v>122.75</c:v>
                </c:pt>
                <c:pt idx="743">
                  <c:v>122.875</c:v>
                </c:pt>
                <c:pt idx="744">
                  <c:v>123</c:v>
                </c:pt>
                <c:pt idx="745">
                  <c:v>123.125</c:v>
                </c:pt>
                <c:pt idx="746">
                  <c:v>123.25</c:v>
                </c:pt>
                <c:pt idx="747">
                  <c:v>123.375</c:v>
                </c:pt>
                <c:pt idx="748">
                  <c:v>123.5</c:v>
                </c:pt>
                <c:pt idx="749">
                  <c:v>123.625</c:v>
                </c:pt>
                <c:pt idx="750">
                  <c:v>123.75</c:v>
                </c:pt>
                <c:pt idx="751">
                  <c:v>123.875</c:v>
                </c:pt>
                <c:pt idx="752">
                  <c:v>124</c:v>
                </c:pt>
                <c:pt idx="753">
                  <c:v>124.125</c:v>
                </c:pt>
                <c:pt idx="754">
                  <c:v>124.25</c:v>
                </c:pt>
                <c:pt idx="755">
                  <c:v>124.375</c:v>
                </c:pt>
                <c:pt idx="756">
                  <c:v>124.5</c:v>
                </c:pt>
                <c:pt idx="757">
                  <c:v>124.625</c:v>
                </c:pt>
                <c:pt idx="758">
                  <c:v>124.75</c:v>
                </c:pt>
                <c:pt idx="759">
                  <c:v>124.875</c:v>
                </c:pt>
                <c:pt idx="760">
                  <c:v>125</c:v>
                </c:pt>
                <c:pt idx="761">
                  <c:v>125.125</c:v>
                </c:pt>
                <c:pt idx="762">
                  <c:v>125.25</c:v>
                </c:pt>
                <c:pt idx="763">
                  <c:v>125.375</c:v>
                </c:pt>
                <c:pt idx="764">
                  <c:v>125.5</c:v>
                </c:pt>
                <c:pt idx="765">
                  <c:v>125.625</c:v>
                </c:pt>
                <c:pt idx="766">
                  <c:v>125.75</c:v>
                </c:pt>
                <c:pt idx="767">
                  <c:v>125.875</c:v>
                </c:pt>
              </c:numCache>
            </c:numRef>
          </c:yVal>
          <c:smooth val="0"/>
        </c:ser>
        <c:axId val="58816549"/>
        <c:axId val="10349943"/>
      </c:scatterChart>
      <c:valAx>
        <c:axId val="58816549"/>
        <c:scaling>
          <c:orientation val="minMax"/>
          <c:max val="767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Step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49943"/>
        <c:crosses val="autoZero"/>
        <c:crossBetween val="midCat"/>
      </c:valAx>
      <c:valAx>
        <c:axId val="103499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Resistance (Ω)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&quot; Ω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1654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12</xdr:col>
      <xdr:colOff>581040</xdr:colOff>
      <xdr:row>18</xdr:row>
      <xdr:rowOff>170280</xdr:rowOff>
    </xdr:to>
    <xdr:graphicFrame>
      <xdr:nvGraphicFramePr>
        <xdr:cNvPr id="0" name="Chart 1"/>
        <xdr:cNvGraphicFramePr/>
      </xdr:nvGraphicFramePr>
      <xdr:xfrm>
        <a:off x="0" y="0"/>
        <a:ext cx="791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62"/>
    <col collapsed="false" customWidth="true" hidden="false" outlineLevel="0" max="5" min="5" style="1" width="12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  <c r="B5" s="6" t="n">
        <v>30</v>
      </c>
      <c r="C5" s="7" t="s">
        <v>4</v>
      </c>
    </row>
    <row r="6" customFormat="false" ht="15" hidden="false" customHeight="false" outlineLevel="0" collapsed="false">
      <c r="A6" s="5" t="s">
        <v>5</v>
      </c>
      <c r="B6" s="6" t="n">
        <v>32</v>
      </c>
      <c r="C6" s="7" t="s">
        <v>4</v>
      </c>
    </row>
    <row r="7" customFormat="false" ht="15" hidden="false" customHeight="false" outlineLevel="0" collapsed="false">
      <c r="A7" s="5" t="s">
        <v>6</v>
      </c>
      <c r="B7" s="6" t="n">
        <v>8</v>
      </c>
      <c r="C7" s="7" t="s">
        <v>7</v>
      </c>
    </row>
    <row r="8" customFormat="false" ht="15" hidden="false" customHeight="false" outlineLevel="0" collapsed="false">
      <c r="A8" s="5" t="s">
        <v>8</v>
      </c>
      <c r="B8" s="6" t="n">
        <v>1</v>
      </c>
      <c r="C8" s="7" t="s">
        <v>7</v>
      </c>
    </row>
    <row r="9" customFormat="false" ht="15" hidden="false" customHeight="false" outlineLevel="0" collapsed="false">
      <c r="A9" s="5" t="s">
        <v>9</v>
      </c>
      <c r="B9" s="6" t="n">
        <v>0.125</v>
      </c>
      <c r="C9" s="7" t="s">
        <v>7</v>
      </c>
    </row>
    <row r="10" customFormat="false" ht="15" hidden="false" customHeight="false" outlineLevel="0" collapsed="false">
      <c r="C10" s="8"/>
    </row>
    <row r="11" customFormat="false" ht="15" hidden="false" customHeight="false" outlineLevel="0" collapsed="false">
      <c r="A11" s="4" t="s">
        <v>10</v>
      </c>
      <c r="C11" s="8"/>
    </row>
    <row r="12" customFormat="false" ht="15" hidden="false" customHeight="false" outlineLevel="0" collapsed="false">
      <c r="A12" s="4" t="s">
        <v>11</v>
      </c>
      <c r="B12" s="9" t="n">
        <f aca="false">B5</f>
        <v>30</v>
      </c>
      <c r="C12" s="7" t="s">
        <v>12</v>
      </c>
    </row>
    <row r="13" customFormat="false" ht="15" hidden="false" customHeight="false" outlineLevel="0" collapsed="false">
      <c r="A13" s="4" t="s">
        <v>13</v>
      </c>
      <c r="B13" s="9" t="n">
        <f aca="false">B5+B6+7*(B7+B8+B9)</f>
        <v>125.875</v>
      </c>
      <c r="C13" s="7" t="s">
        <v>14</v>
      </c>
    </row>
    <row r="14" customFormat="false" ht="15" hidden="false" customHeight="false" outlineLevel="0" collapsed="false">
      <c r="A14" s="4" t="s">
        <v>15</v>
      </c>
      <c r="B14" s="9" t="n">
        <f aca="false">B9</f>
        <v>0.125</v>
      </c>
      <c r="C14" s="7" t="s">
        <v>16</v>
      </c>
    </row>
    <row r="15" customFormat="false" ht="15" hidden="false" customHeight="false" outlineLevel="0" collapsed="false">
      <c r="A15" s="5" t="s">
        <v>17</v>
      </c>
      <c r="B15" s="10" t="n">
        <f aca="false">B13-B12</f>
        <v>95.875</v>
      </c>
      <c r="C15" s="7"/>
    </row>
    <row r="16" customFormat="false" ht="15" hidden="false" customHeight="false" outlineLevel="0" collapsed="false">
      <c r="A16" s="5" t="s">
        <v>18</v>
      </c>
      <c r="B16" s="11" t="n">
        <f aca="false">ROUND(B15/B14,0)</f>
        <v>767</v>
      </c>
      <c r="C16" s="7"/>
    </row>
    <row r="17" customFormat="false" ht="15" hidden="false" customHeight="false" outlineLevel="0" collapsed="false">
      <c r="A17" s="5" t="s">
        <v>19</v>
      </c>
      <c r="B17" s="11" t="n">
        <f aca="false">B16+1</f>
        <v>768</v>
      </c>
      <c r="C17" s="7"/>
    </row>
    <row r="18" customFormat="false" ht="15" hidden="false" customHeight="false" outlineLevel="0" collapsed="false">
      <c r="A18" s="5" t="s">
        <v>20</v>
      </c>
      <c r="B18" s="11" t="n">
        <f aca="false">COUNT('Lookup Table'!B:B)</f>
        <v>768</v>
      </c>
      <c r="C18" s="7" t="s">
        <v>21</v>
      </c>
    </row>
    <row r="19" customFormat="false" ht="15" hidden="false" customHeight="false" outlineLevel="0" collapsed="false">
      <c r="A19" s="5" t="s">
        <v>22</v>
      </c>
      <c r="B19" s="12" t="str">
        <f aca="false">IF(AND(B18=B17,ABS(MAX('Lookup Table'!AD:AD)-B14)&lt;0.000000001,ABS(MIN('Lookup Table'!AD:AD)-B14)&lt;0.000000001),"OK – every step is exactly one R1 step, no gaps","CHECK – steps are not uniform for these resistor values")</f>
        <v>OK – every step is exactly one R1 step, no gaps</v>
      </c>
      <c r="C19" s="7"/>
    </row>
    <row r="21" customFormat="false" ht="15" hidden="false" customHeight="false" outlineLevel="0" collapsed="false">
      <c r="A21" s="4" t="s">
        <v>23</v>
      </c>
    </row>
    <row r="22" customFormat="false" ht="15" hidden="false" customHeight="false" outlineLevel="0" collapsed="false">
      <c r="A22" s="13" t="s">
        <v>24</v>
      </c>
      <c r="B22" s="13" t="s">
        <v>25</v>
      </c>
      <c r="C22" s="13" t="s">
        <v>26</v>
      </c>
      <c r="D22" s="13" t="s">
        <v>27</v>
      </c>
      <c r="E22" s="13" t="s">
        <v>28</v>
      </c>
    </row>
    <row r="23" customFormat="false" ht="15" hidden="false" customHeight="false" outlineLevel="0" collapsed="false">
      <c r="A23" s="14" t="s">
        <v>29</v>
      </c>
      <c r="B23" s="14" t="s">
        <v>30</v>
      </c>
      <c r="C23" s="10" t="n">
        <f aca="false">B5</f>
        <v>30</v>
      </c>
      <c r="D23" s="10" t="n">
        <f aca="false">B5</f>
        <v>30</v>
      </c>
      <c r="E23" s="10" t="s">
        <v>30</v>
      </c>
    </row>
    <row r="24" customFormat="false" ht="15" hidden="false" customHeight="false" outlineLevel="0" collapsed="false">
      <c r="A24" s="14" t="s">
        <v>31</v>
      </c>
      <c r="B24" s="14" t="s">
        <v>32</v>
      </c>
      <c r="C24" s="10" t="n">
        <v>0</v>
      </c>
      <c r="D24" s="10" t="n">
        <f aca="false">B6</f>
        <v>32</v>
      </c>
      <c r="E24" s="10" t="n">
        <f aca="false">B6</f>
        <v>32</v>
      </c>
    </row>
    <row r="25" customFormat="false" ht="15" hidden="false" customHeight="false" outlineLevel="0" collapsed="false">
      <c r="A25" s="14" t="s">
        <v>33</v>
      </c>
      <c r="B25" s="14" t="s">
        <v>34</v>
      </c>
      <c r="C25" s="10" t="n">
        <v>0</v>
      </c>
      <c r="D25" s="10" t="n">
        <f aca="false">7*B7</f>
        <v>56</v>
      </c>
      <c r="E25" s="10" t="n">
        <f aca="false">B7</f>
        <v>8</v>
      </c>
    </row>
    <row r="26" customFormat="false" ht="15" hidden="false" customHeight="false" outlineLevel="0" collapsed="false">
      <c r="A26" s="14" t="s">
        <v>35</v>
      </c>
      <c r="B26" s="14" t="s">
        <v>36</v>
      </c>
      <c r="C26" s="10" t="n">
        <v>0</v>
      </c>
      <c r="D26" s="10" t="n">
        <f aca="false">7*B8</f>
        <v>7</v>
      </c>
      <c r="E26" s="10" t="n">
        <f aca="false">B8</f>
        <v>1</v>
      </c>
    </row>
    <row r="27" customFormat="false" ht="15" hidden="false" customHeight="false" outlineLevel="0" collapsed="false">
      <c r="A27" s="14" t="s">
        <v>37</v>
      </c>
      <c r="B27" s="14" t="s">
        <v>38</v>
      </c>
      <c r="C27" s="10" t="n">
        <v>0</v>
      </c>
      <c r="D27" s="10" t="n">
        <f aca="false">7*B9</f>
        <v>0.875</v>
      </c>
      <c r="E27" s="10" t="n">
        <f aca="false">B9</f>
        <v>0.125</v>
      </c>
    </row>
    <row r="28" customFormat="false" ht="15" hidden="false" customHeight="false" outlineLevel="0" collapsed="false">
      <c r="A28" s="4" t="s">
        <v>39</v>
      </c>
      <c r="C28" s="15" t="n">
        <f aca="false">SUM(C23:C27)</f>
        <v>30</v>
      </c>
      <c r="D28" s="15" t="n">
        <f aca="false">SUM(D23:D27)</f>
        <v>125.875</v>
      </c>
    </row>
    <row r="30" customFormat="false" ht="15" hidden="false" customHeight="false" outlineLevel="0" collapsed="false">
      <c r="A30" s="4" t="s">
        <v>40</v>
      </c>
    </row>
    <row r="31" customFormat="false" ht="15" hidden="false" customHeight="false" outlineLevel="0" collapsed="false">
      <c r="A31" s="13" t="s">
        <v>41</v>
      </c>
      <c r="B31" s="13" t="s">
        <v>42</v>
      </c>
      <c r="C31" s="13" t="s">
        <v>43</v>
      </c>
      <c r="D31" s="13" t="s">
        <v>44</v>
      </c>
    </row>
    <row r="32" customFormat="false" ht="15" hidden="false" customHeight="false" outlineLevel="0" collapsed="false">
      <c r="A32" s="16" t="n">
        <v>0</v>
      </c>
      <c r="B32" s="16" t="n">
        <v>0</v>
      </c>
      <c r="C32" s="17" t="str">
        <f aca="false">"OPEN"</f>
        <v>OPEN</v>
      </c>
      <c r="D32" s="14" t="s">
        <v>45</v>
      </c>
    </row>
    <row r="33" customFormat="false" ht="15" hidden="false" customHeight="false" outlineLevel="0" collapsed="false">
      <c r="A33" s="16" t="n">
        <v>1</v>
      </c>
      <c r="B33" s="16" t="n">
        <v>0</v>
      </c>
      <c r="C33" s="17" t="n">
        <f aca="false">B6</f>
        <v>32</v>
      </c>
      <c r="D33" s="14" t="s">
        <v>46</v>
      </c>
    </row>
    <row r="34" customFormat="false" ht="15" hidden="false" customHeight="false" outlineLevel="0" collapsed="false">
      <c r="A34" s="16" t="n">
        <v>0</v>
      </c>
      <c r="B34" s="16" t="n">
        <v>1</v>
      </c>
      <c r="C34" s="17" t="n">
        <v>0</v>
      </c>
      <c r="D34" s="14" t="s">
        <v>47</v>
      </c>
    </row>
    <row r="35" customFormat="false" ht="15" hidden="false" customHeight="false" outlineLevel="0" collapsed="false">
      <c r="A35" s="16" t="n">
        <v>1</v>
      </c>
      <c r="B35" s="16" t="n">
        <v>1</v>
      </c>
      <c r="C35" s="17" t="n">
        <v>0</v>
      </c>
      <c r="D35" s="14" t="s">
        <v>48</v>
      </c>
    </row>
    <row r="36" customFormat="false" ht="15" hidden="false" customHeight="false" outlineLevel="0" collapsed="false">
      <c r="A36" s="18" t="s">
        <v>49</v>
      </c>
    </row>
    <row r="38" customFormat="false" ht="15" hidden="false" customHeight="false" outlineLevel="0" collapsed="false">
      <c r="A38" s="4" t="s">
        <v>50</v>
      </c>
    </row>
    <row r="39" customFormat="false" ht="15" hidden="false" customHeight="false" outlineLevel="0" collapsed="false">
      <c r="A39" s="5" t="s">
        <v>51</v>
      </c>
    </row>
    <row r="40" customFormat="false" ht="15" hidden="false" customHeight="false" outlineLevel="0" collapsed="false">
      <c r="A40" s="5" t="s">
        <v>52</v>
      </c>
    </row>
    <row r="41" customFormat="false" ht="15" hidden="false" customHeight="false" outlineLevel="0" collapsed="false">
      <c r="A41" s="5" t="s">
        <v>53</v>
      </c>
    </row>
    <row r="42" customFormat="false" ht="15" hidden="false" customHeight="false" outlineLevel="0" collapsed="false">
      <c r="A42" s="5" t="s">
        <v>54</v>
      </c>
    </row>
    <row r="43" customFormat="false" ht="15" hidden="false" customHeight="false" outlineLevel="0" collapsed="false">
      <c r="A43" s="5" t="s">
        <v>55</v>
      </c>
    </row>
    <row r="44" customFormat="false" ht="15" hidden="false" customHeight="false" outlineLevel="0" collapsed="false">
      <c r="A44" s="5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9" min="2" style="1" width="7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2" min="12" style="1" width="52"/>
  </cols>
  <sheetData>
    <row r="1" customFormat="false" ht="17.35" hidden="false" customHeight="false" outlineLevel="0" collapsed="false">
      <c r="A1" s="2" t="s">
        <v>57</v>
      </c>
    </row>
    <row r="2" customFormat="false" ht="15" hidden="false" customHeight="false" outlineLevel="0" collapsed="false">
      <c r="A2" s="3" t="s">
        <v>58</v>
      </c>
    </row>
    <row r="4" customFormat="false" ht="15" hidden="false" customHeight="false" outlineLevel="0" collapsed="false">
      <c r="A4" s="13" t="s">
        <v>24</v>
      </c>
      <c r="B4" s="19" t="s">
        <v>25</v>
      </c>
      <c r="C4" s="19"/>
      <c r="D4" s="19"/>
      <c r="E4" s="19"/>
      <c r="F4" s="19"/>
      <c r="G4" s="19"/>
      <c r="H4" s="19"/>
      <c r="I4" s="19"/>
      <c r="J4" s="13" t="s">
        <v>59</v>
      </c>
      <c r="K4" s="13" t="s">
        <v>60</v>
      </c>
      <c r="L4" s="13" t="s">
        <v>61</v>
      </c>
    </row>
    <row r="5" customFormat="false" ht="15" hidden="false" customHeight="false" outlineLevel="0" collapsed="false">
      <c r="A5" s="4" t="s">
        <v>31</v>
      </c>
      <c r="B5" s="20" t="s">
        <v>41</v>
      </c>
      <c r="C5" s="20" t="s">
        <v>42</v>
      </c>
      <c r="D5" s="21"/>
      <c r="E5" s="21"/>
      <c r="F5" s="21"/>
      <c r="G5" s="21"/>
      <c r="H5" s="21"/>
      <c r="I5" s="21"/>
    </row>
    <row r="6" customFormat="false" ht="15" hidden="false" customHeight="false" outlineLevel="0" collapsed="false">
      <c r="A6" s="3" t="s">
        <v>62</v>
      </c>
      <c r="B6" s="22" t="n">
        <v>0</v>
      </c>
      <c r="C6" s="22" t="n">
        <v>1</v>
      </c>
      <c r="D6" s="23" t="s">
        <v>30</v>
      </c>
      <c r="E6" s="23" t="s">
        <v>30</v>
      </c>
      <c r="F6" s="23" t="s">
        <v>30</v>
      </c>
      <c r="G6" s="23" t="s">
        <v>30</v>
      </c>
      <c r="H6" s="23" t="s">
        <v>30</v>
      </c>
      <c r="I6" s="23" t="s">
        <v>30</v>
      </c>
      <c r="J6" s="16" t="str">
        <f aca="false">IF(C6=1,"R4-2",IF(B6=1,"R4-1","none"))</f>
        <v>R4-2</v>
      </c>
      <c r="K6" s="17" t="n">
        <f aca="false">IF(C6=1,0,IF(B6=1,Summary!$B$6,"OPEN"))</f>
        <v>0</v>
      </c>
      <c r="L6" s="14" t="str">
        <f aca="false">IF(C6=1,IF(B6=1,"32 Ω bypassed (R4-2 shorts it, R4-1 has no effect)","32 Ω bypassed"),IF(B6=1,"32 Ω tap in path","OPEN – close R4-1 (add 32 Ω) or R4-2 (bypass)"))</f>
        <v>32 Ω bypassed</v>
      </c>
    </row>
    <row r="8" customFormat="false" ht="15" hidden="false" customHeight="false" outlineLevel="0" collapsed="false">
      <c r="A8" s="4" t="s">
        <v>33</v>
      </c>
      <c r="B8" s="20" t="s">
        <v>63</v>
      </c>
      <c r="C8" s="20" t="s">
        <v>64</v>
      </c>
      <c r="D8" s="20" t="s">
        <v>65</v>
      </c>
      <c r="E8" s="20" t="s">
        <v>66</v>
      </c>
      <c r="F8" s="20" t="s">
        <v>67</v>
      </c>
      <c r="G8" s="20" t="s">
        <v>68</v>
      </c>
      <c r="H8" s="20" t="s">
        <v>69</v>
      </c>
      <c r="I8" s="20" t="s">
        <v>70</v>
      </c>
    </row>
    <row r="9" customFormat="false" ht="15" hidden="false" customHeight="false" outlineLevel="0" collapsed="false">
      <c r="A9" s="3" t="s">
        <v>62</v>
      </c>
      <c r="B9" s="22" t="n">
        <v>0</v>
      </c>
      <c r="C9" s="22" t="n">
        <v>0</v>
      </c>
      <c r="D9" s="22" t="n">
        <v>0</v>
      </c>
      <c r="E9" s="22" t="n">
        <v>1</v>
      </c>
      <c r="F9" s="22" t="n">
        <v>0</v>
      </c>
      <c r="G9" s="22" t="n">
        <v>0</v>
      </c>
      <c r="H9" s="22" t="n">
        <v>0</v>
      </c>
      <c r="I9" s="22" t="n">
        <v>0</v>
      </c>
      <c r="J9" s="16" t="str">
        <f aca="false">IF(COUNTIF(B9:I9,1)=0,"none","R3-"&amp;MATCH(1,B9:I9,0))</f>
        <v>R3-4</v>
      </c>
      <c r="K9" s="17" t="n">
        <f aca="false">IF(COUNTIF(B9:I9,1)=0,"OPEN",(MATCH(1,B9:I9,0)-1)*Summary!$B$7)</f>
        <v>24</v>
      </c>
      <c r="L9" s="14" t="str">
        <f aca="false">IF(COUNTIF(B9:I9,1)=0,"OPEN – close at least one R3 relay",IF(COUNTIF(B9:I9,1)&gt;1,"OK – only the leftmost closed relay counts","OK"))</f>
        <v>OK</v>
      </c>
    </row>
    <row r="11" customFormat="false" ht="15" hidden="false" customHeight="false" outlineLevel="0" collapsed="false">
      <c r="A11" s="4" t="s">
        <v>35</v>
      </c>
      <c r="B11" s="20" t="s">
        <v>71</v>
      </c>
      <c r="C11" s="20" t="s">
        <v>72</v>
      </c>
      <c r="D11" s="20" t="s">
        <v>73</v>
      </c>
      <c r="E11" s="20" t="s">
        <v>74</v>
      </c>
      <c r="F11" s="20" t="s">
        <v>75</v>
      </c>
      <c r="G11" s="20" t="s">
        <v>76</v>
      </c>
      <c r="H11" s="20" t="s">
        <v>77</v>
      </c>
      <c r="I11" s="20" t="s">
        <v>78</v>
      </c>
    </row>
    <row r="12" customFormat="false" ht="15" hidden="false" customHeight="false" outlineLevel="0" collapsed="false">
      <c r="A12" s="3" t="s">
        <v>62</v>
      </c>
      <c r="B12" s="22" t="n">
        <v>0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1</v>
      </c>
      <c r="H12" s="22" t="n">
        <v>0</v>
      </c>
      <c r="I12" s="22" t="n">
        <v>0</v>
      </c>
      <c r="J12" s="16" t="str">
        <f aca="false">IF(COUNTIF(B12:I12,1)=0,"none","R2-"&amp;MATCH(1,B12:I12,0))</f>
        <v>R2-6</v>
      </c>
      <c r="K12" s="17" t="n">
        <f aca="false">IF(COUNTIF(B12:I12,1)=0,"OPEN",(MATCH(1,B12:I12,0)-1)*Summary!$B$8)</f>
        <v>5</v>
      </c>
      <c r="L12" s="14" t="str">
        <f aca="false">IF(COUNTIF(B12:I12,1)=0,"OPEN – close at least one R2 relay",IF(COUNTIF(B12:I12,1)&gt;1,"OK – only the leftmost closed relay counts","OK"))</f>
        <v>OK</v>
      </c>
    </row>
    <row r="14" customFormat="false" ht="15" hidden="false" customHeight="false" outlineLevel="0" collapsed="false">
      <c r="A14" s="4" t="s">
        <v>37</v>
      </c>
      <c r="B14" s="20" t="s">
        <v>79</v>
      </c>
      <c r="C14" s="20" t="s">
        <v>80</v>
      </c>
      <c r="D14" s="20" t="s">
        <v>81</v>
      </c>
      <c r="E14" s="20" t="s">
        <v>82</v>
      </c>
      <c r="F14" s="20" t="s">
        <v>83</v>
      </c>
      <c r="G14" s="20" t="s">
        <v>84</v>
      </c>
      <c r="H14" s="20" t="s">
        <v>85</v>
      </c>
      <c r="I14" s="20" t="s">
        <v>86</v>
      </c>
    </row>
    <row r="15" customFormat="false" ht="15" hidden="false" customHeight="false" outlineLevel="0" collapsed="false">
      <c r="A15" s="3" t="s">
        <v>62</v>
      </c>
      <c r="B15" s="22" t="n">
        <v>0</v>
      </c>
      <c r="C15" s="22" t="n">
        <v>0</v>
      </c>
      <c r="D15" s="22" t="n">
        <v>1</v>
      </c>
      <c r="E15" s="22" t="n">
        <v>0</v>
      </c>
      <c r="F15" s="22" t="n">
        <v>0</v>
      </c>
      <c r="G15" s="22" t="n">
        <v>0</v>
      </c>
      <c r="H15" s="22" t="n">
        <v>0</v>
      </c>
      <c r="I15" s="22" t="n">
        <v>0</v>
      </c>
      <c r="J15" s="16" t="str">
        <f aca="false">IF(COUNTIF(B15:I15,1)=0,"none","R1-"&amp;MATCH(1,B15:I15,0))</f>
        <v>R1-3</v>
      </c>
      <c r="K15" s="17" t="n">
        <f aca="false">IF(COUNTIF(B15:I15,1)=0,"OPEN",(MATCH(1,B15:I15,0)-1)*Summary!$B$9)</f>
        <v>0.25</v>
      </c>
      <c r="L15" s="14" t="str">
        <f aca="false">IF(COUNTIF(B15:I15,1)=0,"OPEN – close at least one R1 relay",IF(COUNTIF(B15:I15,1)&gt;1,"OK – only the leftmost closed relay counts","OK"))</f>
        <v>OK</v>
      </c>
    </row>
    <row r="17" customFormat="false" ht="15" hidden="false" customHeight="false" outlineLevel="0" collapsed="false">
      <c r="A17" s="4" t="s">
        <v>87</v>
      </c>
      <c r="J17" s="16" t="s">
        <v>88</v>
      </c>
      <c r="K17" s="17" t="n">
        <f aca="false">Summary!$B$5</f>
        <v>30</v>
      </c>
      <c r="L17" s="14" t="s">
        <v>89</v>
      </c>
    </row>
    <row r="19" customFormat="false" ht="15" hidden="false" customHeight="false" outlineLevel="0" collapsed="false">
      <c r="A19" s="24" t="s">
        <v>90</v>
      </c>
      <c r="B19" s="24"/>
      <c r="C19" s="24"/>
      <c r="D19" s="24"/>
      <c r="E19" s="24"/>
      <c r="F19" s="24"/>
      <c r="G19" s="24"/>
      <c r="H19" s="24"/>
      <c r="I19" s="24"/>
      <c r="K19" s="25" t="n">
        <f aca="false">IF(OR(K6="OPEN",K9="OPEN",K12="OPEN",K15="OPEN"),"OPEN CIRCUIT",K17+K6+K9+K12+K15)</f>
        <v>59.25</v>
      </c>
      <c r="L19" s="5" t="str">
        <f aca="false">IF(K19="OPEN CIRCUIT","See the row marked OPEN","= "&amp;K17&amp;" + "&amp;K6&amp;" + "&amp;K9&amp;" + "&amp;K12&amp;" + "&amp;K15&amp;" Ω")</f>
        <v>= 30 + 0 + 24 + 5 + 0.25 Ω</v>
      </c>
    </row>
    <row r="20" customFormat="false" ht="15" hidden="false" customHeight="false" outlineLevel="0" collapsed="false">
      <c r="A20" s="3" t="s">
        <v>91</v>
      </c>
    </row>
    <row r="23" customFormat="false" ht="15" hidden="false" customHeight="false" outlineLevel="0" collapsed="false">
      <c r="A23" s="26" t="s">
        <v>92</v>
      </c>
    </row>
    <row r="24" customFormat="false" ht="15" hidden="false" customHeight="false" outlineLevel="0" collapsed="false">
      <c r="A24" s="5" t="s">
        <v>93</v>
      </c>
      <c r="B24" s="6" t="n">
        <v>75.3</v>
      </c>
      <c r="C24" s="6"/>
      <c r="D24" s="6"/>
    </row>
    <row r="25" customFormat="false" ht="15" hidden="false" customHeight="false" outlineLevel="0" collapsed="false">
      <c r="A25" s="5" t="s">
        <v>94</v>
      </c>
      <c r="B25" s="27" t="n">
        <f aca="false">MAX(0,MIN(Summary!$B$16,ROUND((B24-Summary!$B$12)/Summary!$B$14,0)))</f>
        <v>362</v>
      </c>
      <c r="C25" s="27"/>
      <c r="D25" s="27"/>
    </row>
    <row r="26" customFormat="false" ht="15" hidden="false" customHeight="false" outlineLevel="0" collapsed="false">
      <c r="A26" s="4" t="s">
        <v>95</v>
      </c>
      <c r="B26" s="15" t="n">
        <f aca="false">INDEX('Lookup Table'!$B:$B,B25+3)</f>
        <v>75.25</v>
      </c>
      <c r="C26" s="15"/>
      <c r="D26" s="15"/>
    </row>
    <row r="27" customFormat="false" ht="15" hidden="false" customHeight="false" outlineLevel="0" collapsed="false">
      <c r="A27" s="5" t="s">
        <v>96</v>
      </c>
      <c r="B27" s="28" t="n">
        <f aca="false">B26-B24</f>
        <v>-0.0499999999999972</v>
      </c>
      <c r="C27" s="28"/>
      <c r="D27" s="28"/>
    </row>
    <row r="28" customFormat="false" ht="15" hidden="false" customHeight="false" outlineLevel="0" collapsed="false">
      <c r="A28" s="4" t="s">
        <v>97</v>
      </c>
      <c r="B28" s="29" t="str">
        <f aca="false">INDEX('Lookup Table'!$AC:$AC,B25+3)</f>
        <v>R4-2, R3-6, R2-6, R1-3</v>
      </c>
      <c r="C28" s="29"/>
      <c r="D28" s="29"/>
      <c r="E28" s="29"/>
      <c r="F28" s="29"/>
      <c r="G28" s="29"/>
      <c r="H28" s="29"/>
      <c r="I28" s="29"/>
    </row>
    <row r="29" customFormat="false" ht="15" hidden="false" customHeight="false" outlineLevel="0" collapsed="false">
      <c r="A29" s="5" t="s">
        <v>98</v>
      </c>
      <c r="B29" s="14" t="str">
        <f aca="false">IF(B24&lt;Summary!$B$12,"Below minimum – clamped to "&amp;Summary!$B$12&amp;" Ω",IF(B24&gt;Summary!$B$13,"Above maximum – clamped to "&amp;Summary!$B$13&amp;" Ω","In range"))</f>
        <v>In range</v>
      </c>
      <c r="C29" s="14"/>
      <c r="D29" s="14"/>
      <c r="E29" s="14"/>
      <c r="F29" s="14"/>
      <c r="G29" s="14"/>
      <c r="H29" s="14"/>
      <c r="I29" s="14"/>
    </row>
  </sheetData>
  <mergeCells count="8">
    <mergeCell ref="B4:I4"/>
    <mergeCell ref="A19:I19"/>
    <mergeCell ref="B24:D24"/>
    <mergeCell ref="B25:D25"/>
    <mergeCell ref="B26:D26"/>
    <mergeCell ref="B27:D27"/>
    <mergeCell ref="B28:I28"/>
    <mergeCell ref="B29:I29"/>
  </mergeCells>
  <conditionalFormatting sqref="K19">
    <cfRule type="expression" priority="2" aboveAverage="0" equalAverage="0" bottom="0" percent="0" rank="0" text="" dxfId="0">
      <formula>K19="OPEN CIRCUIT"</formula>
    </cfRule>
    <cfRule type="expression" priority="3" aboveAverage="0" equalAverage="0" bottom="0" percent="0" rank="0" text="" dxfId="1">
      <formula>ISNUMBER(K19)</formula>
    </cfRule>
  </conditionalFormatting>
  <conditionalFormatting sqref="L5:L15">
    <cfRule type="expression" priority="4" aboveAverage="0" equalAverage="0" bottom="0" percent="0" rank="0" text="" dxfId="2">
      <formula>LEFT(L5,4)="OPEN"</formula>
    </cfRule>
  </conditionalFormatting>
  <conditionalFormatting sqref="B6:I15">
    <cfRule type="cellIs" priority="5" operator="equal" aboveAverage="0" equalAverage="0" bottom="0" percent="0" rank="0" text="" dxfId="3">
      <formula>1</formula>
    </cfRule>
  </conditionalFormatting>
  <dataValidations count="1">
    <dataValidation allowBlank="true" error="Enter 1 for closed or 0 for open." errorStyle="stop" errorTitle="Relay state" operator="between" showDropDown="false" showErrorMessage="true" showInputMessage="false" sqref="B6:C6 B9:I9 B12:I12 B15:I15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28" min="3" style="1" width="5.52"/>
    <col collapsed="false" customWidth="true" hidden="false" outlineLevel="0" max="29" min="29" style="1" width="26"/>
    <col collapsed="false" customWidth="true" hidden="false" outlineLevel="0" max="30" min="30" style="1" width="12"/>
  </cols>
  <sheetData>
    <row r="1" customFormat="false" ht="15" hidden="false" customHeight="false" outlineLevel="0" collapsed="false">
      <c r="A1" s="4" t="s">
        <v>99</v>
      </c>
    </row>
    <row r="2" customFormat="false" ht="15" hidden="false" customHeight="false" outlineLevel="0" collapsed="false">
      <c r="A2" s="13" t="s">
        <v>100</v>
      </c>
      <c r="B2" s="13" t="s">
        <v>101</v>
      </c>
      <c r="C2" s="13" t="s">
        <v>41</v>
      </c>
      <c r="D2" s="13" t="s">
        <v>42</v>
      </c>
      <c r="E2" s="13" t="s">
        <v>63</v>
      </c>
      <c r="F2" s="13" t="s">
        <v>64</v>
      </c>
      <c r="G2" s="13" t="s">
        <v>65</v>
      </c>
      <c r="H2" s="13" t="s">
        <v>66</v>
      </c>
      <c r="I2" s="13" t="s">
        <v>67</v>
      </c>
      <c r="J2" s="13" t="s">
        <v>68</v>
      </c>
      <c r="K2" s="13" t="s">
        <v>69</v>
      </c>
      <c r="L2" s="13" t="s">
        <v>70</v>
      </c>
      <c r="M2" s="13" t="s">
        <v>71</v>
      </c>
      <c r="N2" s="13" t="s">
        <v>72</v>
      </c>
      <c r="O2" s="13" t="s">
        <v>73</v>
      </c>
      <c r="P2" s="13" t="s">
        <v>74</v>
      </c>
      <c r="Q2" s="13" t="s">
        <v>75</v>
      </c>
      <c r="R2" s="13" t="s">
        <v>76</v>
      </c>
      <c r="S2" s="13" t="s">
        <v>77</v>
      </c>
      <c r="T2" s="13" t="s">
        <v>78</v>
      </c>
      <c r="U2" s="13" t="s">
        <v>79</v>
      </c>
      <c r="V2" s="13" t="s">
        <v>80</v>
      </c>
      <c r="W2" s="13" t="s">
        <v>81</v>
      </c>
      <c r="X2" s="13" t="s">
        <v>82</v>
      </c>
      <c r="Y2" s="13" t="s">
        <v>83</v>
      </c>
      <c r="Z2" s="13" t="s">
        <v>84</v>
      </c>
      <c r="AA2" s="13" t="s">
        <v>85</v>
      </c>
      <c r="AB2" s="13" t="s">
        <v>86</v>
      </c>
      <c r="AC2" s="13" t="s">
        <v>102</v>
      </c>
      <c r="AD2" s="13" t="s">
        <v>103</v>
      </c>
    </row>
    <row r="3" customFormat="false" ht="15" hidden="false" customHeight="false" outlineLevel="0" collapsed="false">
      <c r="A3" s="30" t="n">
        <v>0</v>
      </c>
      <c r="B3" s="31" t="n">
        <f aca="false">Summary!$B$5+IF(D3=1,0,IF(C3=1,Summary!$B$6,NA()))+(MATCH(1,E3:L3,0)-1)*Summary!$B$7+(MATCH(1,M3:T3,0)-1)*Summary!$B$8+(MATCH(1,U3:AB3,0)-1)*Summary!$B$9</f>
        <v>30</v>
      </c>
      <c r="C3" s="32" t="n">
        <v>0</v>
      </c>
      <c r="D3" s="32" t="n">
        <v>1</v>
      </c>
      <c r="E3" s="32" t="n">
        <v>1</v>
      </c>
      <c r="F3" s="32" t="n">
        <v>0</v>
      </c>
      <c r="G3" s="32" t="n">
        <v>0</v>
      </c>
      <c r="H3" s="32" t="n">
        <v>0</v>
      </c>
      <c r="I3" s="32" t="n">
        <v>0</v>
      </c>
      <c r="J3" s="32" t="n">
        <v>0</v>
      </c>
      <c r="K3" s="32" t="n">
        <v>0</v>
      </c>
      <c r="L3" s="32" t="n">
        <v>0</v>
      </c>
      <c r="M3" s="32" t="n">
        <v>1</v>
      </c>
      <c r="N3" s="32" t="n">
        <v>0</v>
      </c>
      <c r="O3" s="32" t="n">
        <v>0</v>
      </c>
      <c r="P3" s="32" t="n">
        <v>0</v>
      </c>
      <c r="Q3" s="32" t="n">
        <v>0</v>
      </c>
      <c r="R3" s="32" t="n">
        <v>0</v>
      </c>
      <c r="S3" s="32" t="n">
        <v>0</v>
      </c>
      <c r="T3" s="32" t="n">
        <v>0</v>
      </c>
      <c r="U3" s="32" t="n">
        <v>1</v>
      </c>
      <c r="V3" s="32" t="n">
        <v>0</v>
      </c>
      <c r="W3" s="32" t="n">
        <v>0</v>
      </c>
      <c r="X3" s="32" t="n">
        <v>0</v>
      </c>
      <c r="Y3" s="32" t="n">
        <v>0</v>
      </c>
      <c r="Z3" s="32" t="n">
        <v>0</v>
      </c>
      <c r="AA3" s="32" t="n">
        <v>0</v>
      </c>
      <c r="AB3" s="32" t="n">
        <v>0</v>
      </c>
      <c r="AC3" s="30" t="s">
        <v>104</v>
      </c>
      <c r="AD3" s="30"/>
    </row>
    <row r="4" customFormat="false" ht="15" hidden="false" customHeight="false" outlineLevel="0" collapsed="false">
      <c r="A4" s="33" t="n">
        <v>1</v>
      </c>
      <c r="B4" s="34" t="n">
        <f aca="false">Summary!$B$5+IF(D4=1,0,IF(C4=1,Summary!$B$6,NA()))+(MATCH(1,E4:L4,0)-1)*Summary!$B$7+(MATCH(1,M4:T4,0)-1)*Summary!$B$8+(MATCH(1,U4:AB4,0)-1)*Summary!$B$9</f>
        <v>30.125</v>
      </c>
      <c r="C4" s="35" t="n">
        <v>0</v>
      </c>
      <c r="D4" s="35" t="n">
        <v>1</v>
      </c>
      <c r="E4" s="35" t="n">
        <v>1</v>
      </c>
      <c r="F4" s="35" t="n">
        <v>0</v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1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3" t="s">
        <v>105</v>
      </c>
      <c r="AD4" s="36" t="n">
        <f aca="false">B4-B3</f>
        <v>0.125</v>
      </c>
    </row>
    <row r="5" customFormat="false" ht="15" hidden="false" customHeight="false" outlineLevel="0" collapsed="false">
      <c r="A5" s="30" t="n">
        <v>2</v>
      </c>
      <c r="B5" s="31" t="n">
        <f aca="false">Summary!$B$5+IF(D5=1,0,IF(C5=1,Summary!$B$6,NA()))+(MATCH(1,E5:L5,0)-1)*Summary!$B$7+(MATCH(1,M5:T5,0)-1)*Summary!$B$8+(MATCH(1,U5:AB5,0)-1)*Summary!$B$9</f>
        <v>30.25</v>
      </c>
      <c r="C5" s="32" t="n">
        <v>0</v>
      </c>
      <c r="D5" s="32" t="n">
        <v>1</v>
      </c>
      <c r="E5" s="32" t="n">
        <v>1</v>
      </c>
      <c r="F5" s="32" t="n">
        <v>0</v>
      </c>
      <c r="G5" s="32" t="n">
        <v>0</v>
      </c>
      <c r="H5" s="32" t="n">
        <v>0</v>
      </c>
      <c r="I5" s="32" t="n">
        <v>0</v>
      </c>
      <c r="J5" s="32" t="n">
        <v>0</v>
      </c>
      <c r="K5" s="32" t="n">
        <v>0</v>
      </c>
      <c r="L5" s="32" t="n">
        <v>0</v>
      </c>
      <c r="M5" s="32" t="n">
        <v>1</v>
      </c>
      <c r="N5" s="32" t="n">
        <v>0</v>
      </c>
      <c r="O5" s="32" t="n">
        <v>0</v>
      </c>
      <c r="P5" s="32" t="n">
        <v>0</v>
      </c>
      <c r="Q5" s="32" t="n">
        <v>0</v>
      </c>
      <c r="R5" s="32" t="n">
        <v>0</v>
      </c>
      <c r="S5" s="32" t="n">
        <v>0</v>
      </c>
      <c r="T5" s="32" t="n">
        <v>0</v>
      </c>
      <c r="U5" s="32" t="n">
        <v>0</v>
      </c>
      <c r="V5" s="32" t="n">
        <v>0</v>
      </c>
      <c r="W5" s="32" t="n">
        <v>1</v>
      </c>
      <c r="X5" s="32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0" t="s">
        <v>106</v>
      </c>
      <c r="AD5" s="37" t="n">
        <f aca="false">B5-B4</f>
        <v>0.125</v>
      </c>
    </row>
    <row r="6" customFormat="false" ht="15" hidden="false" customHeight="false" outlineLevel="0" collapsed="false">
      <c r="A6" s="33" t="n">
        <v>3</v>
      </c>
      <c r="B6" s="34" t="n">
        <f aca="false">Summary!$B$5+IF(D6=1,0,IF(C6=1,Summary!$B$6,NA()))+(MATCH(1,E6:L6,0)-1)*Summary!$B$7+(MATCH(1,M6:T6,0)-1)*Summary!$B$8+(MATCH(1,U6:AB6,0)-1)*Summary!$B$9</f>
        <v>30.375</v>
      </c>
      <c r="C6" s="35" t="n">
        <v>0</v>
      </c>
      <c r="D6" s="35" t="n">
        <v>1</v>
      </c>
      <c r="E6" s="35" t="n">
        <v>1</v>
      </c>
      <c r="F6" s="35" t="n">
        <v>0</v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1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</v>
      </c>
      <c r="Y6" s="35" t="n">
        <v>0</v>
      </c>
      <c r="Z6" s="35" t="n">
        <v>0</v>
      </c>
      <c r="AA6" s="35" t="n">
        <v>0</v>
      </c>
      <c r="AB6" s="35" t="n">
        <v>0</v>
      </c>
      <c r="AC6" s="33" t="s">
        <v>107</v>
      </c>
      <c r="AD6" s="36" t="n">
        <f aca="false">B6-B5</f>
        <v>0.125</v>
      </c>
    </row>
    <row r="7" customFormat="false" ht="15" hidden="false" customHeight="false" outlineLevel="0" collapsed="false">
      <c r="A7" s="30" t="n">
        <v>4</v>
      </c>
      <c r="B7" s="31" t="n">
        <f aca="false">Summary!$B$5+IF(D7=1,0,IF(C7=1,Summary!$B$6,NA()))+(MATCH(1,E7:L7,0)-1)*Summary!$B$7+(MATCH(1,M7:T7,0)-1)*Summary!$B$8+(MATCH(1,U7:AB7,0)-1)*Summary!$B$9</f>
        <v>30.5</v>
      </c>
      <c r="C7" s="32" t="n">
        <v>0</v>
      </c>
      <c r="D7" s="32" t="n">
        <v>1</v>
      </c>
      <c r="E7" s="32" t="n">
        <v>1</v>
      </c>
      <c r="F7" s="32" t="n">
        <v>0</v>
      </c>
      <c r="G7" s="32" t="n">
        <v>0</v>
      </c>
      <c r="H7" s="32" t="n">
        <v>0</v>
      </c>
      <c r="I7" s="32" t="n">
        <v>0</v>
      </c>
      <c r="J7" s="32" t="n">
        <v>0</v>
      </c>
      <c r="K7" s="32" t="n">
        <v>0</v>
      </c>
      <c r="L7" s="32" t="n">
        <v>0</v>
      </c>
      <c r="M7" s="32" t="n">
        <v>1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1</v>
      </c>
      <c r="Z7" s="32" t="n">
        <v>0</v>
      </c>
      <c r="AA7" s="32" t="n">
        <v>0</v>
      </c>
      <c r="AB7" s="32" t="n">
        <v>0</v>
      </c>
      <c r="AC7" s="30" t="s">
        <v>108</v>
      </c>
      <c r="AD7" s="37" t="n">
        <f aca="false">B7-B6</f>
        <v>0.125</v>
      </c>
    </row>
    <row r="8" customFormat="false" ht="15" hidden="false" customHeight="false" outlineLevel="0" collapsed="false">
      <c r="A8" s="33" t="n">
        <v>5</v>
      </c>
      <c r="B8" s="34" t="n">
        <f aca="false">Summary!$B$5+IF(D8=1,0,IF(C8=1,Summary!$B$6,NA()))+(MATCH(1,E8:L8,0)-1)*Summary!$B$7+(MATCH(1,M8:T8,0)-1)*Summary!$B$8+(MATCH(1,U8:AB8,0)-1)*Summary!$B$9</f>
        <v>30.625</v>
      </c>
      <c r="C8" s="35" t="n">
        <v>0</v>
      </c>
      <c r="D8" s="35" t="n">
        <v>1</v>
      </c>
      <c r="E8" s="35" t="n">
        <v>1</v>
      </c>
      <c r="F8" s="35" t="n">
        <v>0</v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1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1</v>
      </c>
      <c r="AA8" s="35" t="n">
        <v>0</v>
      </c>
      <c r="AB8" s="35" t="n">
        <v>0</v>
      </c>
      <c r="AC8" s="33" t="s">
        <v>109</v>
      </c>
      <c r="AD8" s="36" t="n">
        <f aca="false">B8-B7</f>
        <v>0.125</v>
      </c>
    </row>
    <row r="9" customFormat="false" ht="15" hidden="false" customHeight="false" outlineLevel="0" collapsed="false">
      <c r="A9" s="30" t="n">
        <v>6</v>
      </c>
      <c r="B9" s="31" t="n">
        <f aca="false">Summary!$B$5+IF(D9=1,0,IF(C9=1,Summary!$B$6,NA()))+(MATCH(1,E9:L9,0)-1)*Summary!$B$7+(MATCH(1,M9:T9,0)-1)*Summary!$B$8+(MATCH(1,U9:AB9,0)-1)*Summary!$B$9</f>
        <v>30.75</v>
      </c>
      <c r="C9" s="32" t="n">
        <v>0</v>
      </c>
      <c r="D9" s="32" t="n">
        <v>1</v>
      </c>
      <c r="E9" s="32" t="n">
        <v>1</v>
      </c>
      <c r="F9" s="32" t="n">
        <v>0</v>
      </c>
      <c r="G9" s="32" t="n">
        <v>0</v>
      </c>
      <c r="H9" s="32" t="n">
        <v>0</v>
      </c>
      <c r="I9" s="32" t="n">
        <v>0</v>
      </c>
      <c r="J9" s="32" t="n">
        <v>0</v>
      </c>
      <c r="K9" s="32" t="n">
        <v>0</v>
      </c>
      <c r="L9" s="32" t="n">
        <v>0</v>
      </c>
      <c r="M9" s="32" t="n">
        <v>1</v>
      </c>
      <c r="N9" s="32" t="n">
        <v>0</v>
      </c>
      <c r="O9" s="32" t="n">
        <v>0</v>
      </c>
      <c r="P9" s="32" t="n">
        <v>0</v>
      </c>
      <c r="Q9" s="32" t="n">
        <v>0</v>
      </c>
      <c r="R9" s="32" t="n">
        <v>0</v>
      </c>
      <c r="S9" s="32" t="n">
        <v>0</v>
      </c>
      <c r="T9" s="32" t="n">
        <v>0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32" t="n">
        <v>0</v>
      </c>
      <c r="AA9" s="32" t="n">
        <v>1</v>
      </c>
      <c r="AB9" s="32" t="n">
        <v>0</v>
      </c>
      <c r="AC9" s="30" t="s">
        <v>110</v>
      </c>
      <c r="AD9" s="37" t="n">
        <f aca="false">B9-B8</f>
        <v>0.125</v>
      </c>
    </row>
    <row r="10" customFormat="false" ht="15" hidden="false" customHeight="false" outlineLevel="0" collapsed="false">
      <c r="A10" s="33" t="n">
        <v>7</v>
      </c>
      <c r="B10" s="34" t="n">
        <f aca="false">Summary!$B$5+IF(D10=1,0,IF(C10=1,Summary!$B$6,NA()))+(MATCH(1,E10:L10,0)-1)*Summary!$B$7+(MATCH(1,M10:T10,0)-1)*Summary!$B$8+(MATCH(1,U10:AB10,0)-1)*Summary!$B$9</f>
        <v>30.875</v>
      </c>
      <c r="C10" s="35" t="n">
        <v>0</v>
      </c>
      <c r="D10" s="35" t="n">
        <v>1</v>
      </c>
      <c r="E10" s="35" t="n">
        <v>1</v>
      </c>
      <c r="F10" s="35" t="n">
        <v>0</v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1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1</v>
      </c>
      <c r="AC10" s="33" t="s">
        <v>111</v>
      </c>
      <c r="AD10" s="36" t="n">
        <f aca="false">B10-B9</f>
        <v>0.125</v>
      </c>
    </row>
    <row r="11" customFormat="false" ht="15" hidden="false" customHeight="false" outlineLevel="0" collapsed="false">
      <c r="A11" s="30" t="n">
        <v>8</v>
      </c>
      <c r="B11" s="31" t="n">
        <f aca="false">Summary!$B$5+IF(D11=1,0,IF(C11=1,Summary!$B$6,NA()))+(MATCH(1,E11:L11,0)-1)*Summary!$B$7+(MATCH(1,M11:T11,0)-1)*Summary!$B$8+(MATCH(1,U11:AB11,0)-1)*Summary!$B$9</f>
        <v>31</v>
      </c>
      <c r="C11" s="32" t="n">
        <v>0</v>
      </c>
      <c r="D11" s="32" t="n">
        <v>1</v>
      </c>
      <c r="E11" s="32" t="n">
        <v>1</v>
      </c>
      <c r="F11" s="32" t="n">
        <v>0</v>
      </c>
      <c r="G11" s="32" t="n">
        <v>0</v>
      </c>
      <c r="H11" s="32" t="n">
        <v>0</v>
      </c>
      <c r="I11" s="32" t="n">
        <v>0</v>
      </c>
      <c r="J11" s="32" t="n">
        <v>0</v>
      </c>
      <c r="K11" s="32" t="n">
        <v>0</v>
      </c>
      <c r="L11" s="32" t="n">
        <v>0</v>
      </c>
      <c r="M11" s="32" t="n">
        <v>0</v>
      </c>
      <c r="N11" s="32" t="n">
        <v>1</v>
      </c>
      <c r="O11" s="32" t="n">
        <v>0</v>
      </c>
      <c r="P11" s="32" t="n">
        <v>0</v>
      </c>
      <c r="Q11" s="32" t="n">
        <v>0</v>
      </c>
      <c r="R11" s="32" t="n">
        <v>0</v>
      </c>
      <c r="S11" s="32" t="n">
        <v>0</v>
      </c>
      <c r="T11" s="32" t="n">
        <v>0</v>
      </c>
      <c r="U11" s="32" t="n">
        <v>1</v>
      </c>
      <c r="V11" s="32" t="n">
        <v>0</v>
      </c>
      <c r="W11" s="32" t="n">
        <v>0</v>
      </c>
      <c r="X11" s="32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0" t="s">
        <v>112</v>
      </c>
      <c r="AD11" s="37" t="n">
        <f aca="false">B11-B10</f>
        <v>0.125</v>
      </c>
    </row>
    <row r="12" customFormat="false" ht="15" hidden="false" customHeight="false" outlineLevel="0" collapsed="false">
      <c r="A12" s="33" t="n">
        <v>9</v>
      </c>
      <c r="B12" s="34" t="n">
        <f aca="false">Summary!$B$5+IF(D12=1,0,IF(C12=1,Summary!$B$6,NA()))+(MATCH(1,E12:L12,0)-1)*Summary!$B$7+(MATCH(1,M12:T12,0)-1)*Summary!$B$8+(MATCH(1,U12:AB12,0)-1)*Summary!$B$9</f>
        <v>31.125</v>
      </c>
      <c r="C12" s="35" t="n">
        <v>0</v>
      </c>
      <c r="D12" s="35" t="n">
        <v>1</v>
      </c>
      <c r="E12" s="35" t="n">
        <v>1</v>
      </c>
      <c r="F12" s="35" t="n">
        <v>0</v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3" t="s">
        <v>113</v>
      </c>
      <c r="AD12" s="36" t="n">
        <f aca="false">B12-B11</f>
        <v>0.125</v>
      </c>
    </row>
    <row r="13" customFormat="false" ht="15" hidden="false" customHeight="false" outlineLevel="0" collapsed="false">
      <c r="A13" s="30" t="n">
        <v>10</v>
      </c>
      <c r="B13" s="31" t="n">
        <f aca="false">Summary!$B$5+IF(D13=1,0,IF(C13=1,Summary!$B$6,NA()))+(MATCH(1,E13:L13,0)-1)*Summary!$B$7+(MATCH(1,M13:T13,0)-1)*Summary!$B$8+(MATCH(1,U13:AB13,0)-1)*Summary!$B$9</f>
        <v>31.25</v>
      </c>
      <c r="C13" s="32" t="n">
        <v>0</v>
      </c>
      <c r="D13" s="32" t="n">
        <v>1</v>
      </c>
      <c r="E13" s="32" t="n">
        <v>1</v>
      </c>
      <c r="F13" s="32" t="n">
        <v>0</v>
      </c>
      <c r="G13" s="32" t="n">
        <v>0</v>
      </c>
      <c r="H13" s="32" t="n">
        <v>0</v>
      </c>
      <c r="I13" s="32" t="n">
        <v>0</v>
      </c>
      <c r="J13" s="32" t="n">
        <v>0</v>
      </c>
      <c r="K13" s="32" t="n">
        <v>0</v>
      </c>
      <c r="L13" s="32" t="n">
        <v>0</v>
      </c>
      <c r="M13" s="32" t="n">
        <v>0</v>
      </c>
      <c r="N13" s="32" t="n">
        <v>1</v>
      </c>
      <c r="O13" s="32" t="n">
        <v>0</v>
      </c>
      <c r="P13" s="32" t="n">
        <v>0</v>
      </c>
      <c r="Q13" s="32" t="n">
        <v>0</v>
      </c>
      <c r="R13" s="32" t="n">
        <v>0</v>
      </c>
      <c r="S13" s="32" t="n">
        <v>0</v>
      </c>
      <c r="T13" s="32" t="n">
        <v>0</v>
      </c>
      <c r="U13" s="32" t="n">
        <v>0</v>
      </c>
      <c r="V13" s="32" t="n">
        <v>0</v>
      </c>
      <c r="W13" s="32" t="n">
        <v>1</v>
      </c>
      <c r="X13" s="32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0" t="s">
        <v>114</v>
      </c>
      <c r="AD13" s="37" t="n">
        <f aca="false">B13-B12</f>
        <v>0.125</v>
      </c>
    </row>
    <row r="14" customFormat="false" ht="15" hidden="false" customHeight="false" outlineLevel="0" collapsed="false">
      <c r="A14" s="33" t="n">
        <v>11</v>
      </c>
      <c r="B14" s="34" t="n">
        <f aca="false">Summary!$B$5+IF(D14=1,0,IF(C14=1,Summary!$B$6,NA()))+(MATCH(1,E14:L14,0)-1)*Summary!$B$7+(MATCH(1,M14:T14,0)-1)*Summary!$B$8+(MATCH(1,U14:AB14,0)-1)*Summary!$B$9</f>
        <v>31.375</v>
      </c>
      <c r="C14" s="35" t="n">
        <v>0</v>
      </c>
      <c r="D14" s="35" t="n">
        <v>1</v>
      </c>
      <c r="E14" s="35" t="n">
        <v>1</v>
      </c>
      <c r="F14" s="35" t="n">
        <v>0</v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0</v>
      </c>
      <c r="AB14" s="35" t="n">
        <v>0</v>
      </c>
      <c r="AC14" s="33" t="s">
        <v>115</v>
      </c>
      <c r="AD14" s="36" t="n">
        <f aca="false">B14-B13</f>
        <v>0.125</v>
      </c>
    </row>
    <row r="15" customFormat="false" ht="15" hidden="false" customHeight="false" outlineLevel="0" collapsed="false">
      <c r="A15" s="30" t="n">
        <v>12</v>
      </c>
      <c r="B15" s="31" t="n">
        <f aca="false">Summary!$B$5+IF(D15=1,0,IF(C15=1,Summary!$B$6,NA()))+(MATCH(1,E15:L15,0)-1)*Summary!$B$7+(MATCH(1,M15:T15,0)-1)*Summary!$B$8+(MATCH(1,U15:AB15,0)-1)*Summary!$B$9</f>
        <v>31.5</v>
      </c>
      <c r="C15" s="32" t="n">
        <v>0</v>
      </c>
      <c r="D15" s="32" t="n">
        <v>1</v>
      </c>
      <c r="E15" s="32" t="n">
        <v>1</v>
      </c>
      <c r="F15" s="32" t="n">
        <v>0</v>
      </c>
      <c r="G15" s="32" t="n">
        <v>0</v>
      </c>
      <c r="H15" s="32" t="n">
        <v>0</v>
      </c>
      <c r="I15" s="32" t="n">
        <v>0</v>
      </c>
      <c r="J15" s="32" t="n">
        <v>0</v>
      </c>
      <c r="K15" s="32" t="n">
        <v>0</v>
      </c>
      <c r="L15" s="32" t="n">
        <v>0</v>
      </c>
      <c r="M15" s="32" t="n">
        <v>0</v>
      </c>
      <c r="N15" s="32" t="n">
        <v>1</v>
      </c>
      <c r="O15" s="32" t="n">
        <v>0</v>
      </c>
      <c r="P15" s="32" t="n">
        <v>0</v>
      </c>
      <c r="Q15" s="32" t="n">
        <v>0</v>
      </c>
      <c r="R15" s="32" t="n">
        <v>0</v>
      </c>
      <c r="S15" s="32" t="n">
        <v>0</v>
      </c>
      <c r="T15" s="32" t="n">
        <v>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1</v>
      </c>
      <c r="Z15" s="32" t="n">
        <v>0</v>
      </c>
      <c r="AA15" s="32" t="n">
        <v>0</v>
      </c>
      <c r="AB15" s="32" t="n">
        <v>0</v>
      </c>
      <c r="AC15" s="30" t="s">
        <v>116</v>
      </c>
      <c r="AD15" s="37" t="n">
        <f aca="false">B15-B14</f>
        <v>0.125</v>
      </c>
    </row>
    <row r="16" customFormat="false" ht="15" hidden="false" customHeight="false" outlineLevel="0" collapsed="false">
      <c r="A16" s="33" t="n">
        <v>13</v>
      </c>
      <c r="B16" s="34" t="n">
        <f aca="false">Summary!$B$5+IF(D16=1,0,IF(C16=1,Summary!$B$6,NA()))+(MATCH(1,E16:L16,0)-1)*Summary!$B$7+(MATCH(1,M16:T16,0)-1)*Summary!$B$8+(MATCH(1,U16:AB16,0)-1)*Summary!$B$9</f>
        <v>31.625</v>
      </c>
      <c r="C16" s="35" t="n">
        <v>0</v>
      </c>
      <c r="D16" s="35" t="n">
        <v>1</v>
      </c>
      <c r="E16" s="35" t="n">
        <v>1</v>
      </c>
      <c r="F16" s="35" t="n">
        <v>0</v>
      </c>
      <c r="G16" s="35" t="n">
        <v>0</v>
      </c>
      <c r="H16" s="35" t="n">
        <v>0</v>
      </c>
      <c r="I16" s="35" t="n">
        <v>0</v>
      </c>
      <c r="J16" s="35" t="n">
        <v>0</v>
      </c>
      <c r="K16" s="35" t="n">
        <v>0</v>
      </c>
      <c r="L16" s="35" t="n">
        <v>0</v>
      </c>
      <c r="M16" s="35" t="n">
        <v>0</v>
      </c>
      <c r="N16" s="35" t="n">
        <v>1</v>
      </c>
      <c r="O16" s="35" t="n">
        <v>0</v>
      </c>
      <c r="P16" s="35" t="n">
        <v>0</v>
      </c>
      <c r="Q16" s="35" t="n">
        <v>0</v>
      </c>
      <c r="R16" s="35" t="n">
        <v>0</v>
      </c>
      <c r="S16" s="35" t="n">
        <v>0</v>
      </c>
      <c r="T16" s="35" t="n">
        <v>0</v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1</v>
      </c>
      <c r="AA16" s="35" t="n">
        <v>0</v>
      </c>
      <c r="AB16" s="35" t="n">
        <v>0</v>
      </c>
      <c r="AC16" s="33" t="s">
        <v>117</v>
      </c>
      <c r="AD16" s="36" t="n">
        <f aca="false">B16-B15</f>
        <v>0.125</v>
      </c>
    </row>
    <row r="17" customFormat="false" ht="15" hidden="false" customHeight="false" outlineLevel="0" collapsed="false">
      <c r="A17" s="30" t="n">
        <v>14</v>
      </c>
      <c r="B17" s="31" t="n">
        <f aca="false">Summary!$B$5+IF(D17=1,0,IF(C17=1,Summary!$B$6,NA()))+(MATCH(1,E17:L17,0)-1)*Summary!$B$7+(MATCH(1,M17:T17,0)-1)*Summary!$B$8+(MATCH(1,U17:AB17,0)-1)*Summary!$B$9</f>
        <v>31.75</v>
      </c>
      <c r="C17" s="32" t="n">
        <v>0</v>
      </c>
      <c r="D17" s="32" t="n">
        <v>1</v>
      </c>
      <c r="E17" s="32" t="n">
        <v>1</v>
      </c>
      <c r="F17" s="32" t="n">
        <v>0</v>
      </c>
      <c r="G17" s="32" t="n">
        <v>0</v>
      </c>
      <c r="H17" s="32" t="n">
        <v>0</v>
      </c>
      <c r="I17" s="32" t="n">
        <v>0</v>
      </c>
      <c r="J17" s="32" t="n">
        <v>0</v>
      </c>
      <c r="K17" s="32" t="n">
        <v>0</v>
      </c>
      <c r="L17" s="32" t="n">
        <v>0</v>
      </c>
      <c r="M17" s="32" t="n">
        <v>0</v>
      </c>
      <c r="N17" s="32" t="n">
        <v>1</v>
      </c>
      <c r="O17" s="32" t="n">
        <v>0</v>
      </c>
      <c r="P17" s="32" t="n">
        <v>0</v>
      </c>
      <c r="Q17" s="32" t="n">
        <v>0</v>
      </c>
      <c r="R17" s="32" t="n">
        <v>0</v>
      </c>
      <c r="S17" s="32" t="n">
        <v>0</v>
      </c>
      <c r="T17" s="32" t="n">
        <v>0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32" t="n">
        <v>0</v>
      </c>
      <c r="AA17" s="32" t="n">
        <v>1</v>
      </c>
      <c r="AB17" s="32" t="n">
        <v>0</v>
      </c>
      <c r="AC17" s="30" t="s">
        <v>118</v>
      </c>
      <c r="AD17" s="37" t="n">
        <f aca="false">B17-B16</f>
        <v>0.125</v>
      </c>
    </row>
    <row r="18" customFormat="false" ht="15" hidden="false" customHeight="false" outlineLevel="0" collapsed="false">
      <c r="A18" s="33" t="n">
        <v>15</v>
      </c>
      <c r="B18" s="34" t="n">
        <f aca="false">Summary!$B$5+IF(D18=1,0,IF(C18=1,Summary!$B$6,NA()))+(MATCH(1,E18:L18,0)-1)*Summary!$B$7+(MATCH(1,M18:T18,0)-1)*Summary!$B$8+(MATCH(1,U18:AB18,0)-1)*Summary!$B$9</f>
        <v>31.875</v>
      </c>
      <c r="C18" s="35" t="n">
        <v>0</v>
      </c>
      <c r="D18" s="35" t="n">
        <v>1</v>
      </c>
      <c r="E18" s="35" t="n">
        <v>1</v>
      </c>
      <c r="F18" s="35" t="n">
        <v>0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0</v>
      </c>
      <c r="L18" s="35" t="n">
        <v>0</v>
      </c>
      <c r="M18" s="35" t="n">
        <v>0</v>
      </c>
      <c r="N18" s="35" t="n">
        <v>1</v>
      </c>
      <c r="O18" s="35" t="n">
        <v>0</v>
      </c>
      <c r="P18" s="35" t="n">
        <v>0</v>
      </c>
      <c r="Q18" s="35" t="n">
        <v>0</v>
      </c>
      <c r="R18" s="35" t="n">
        <v>0</v>
      </c>
      <c r="S18" s="35" t="n">
        <v>0</v>
      </c>
      <c r="T18" s="35" t="n">
        <v>0</v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1</v>
      </c>
      <c r="AC18" s="33" t="s">
        <v>119</v>
      </c>
      <c r="AD18" s="36" t="n">
        <f aca="false">B18-B17</f>
        <v>0.125</v>
      </c>
    </row>
    <row r="19" customFormat="false" ht="15" hidden="false" customHeight="false" outlineLevel="0" collapsed="false">
      <c r="A19" s="30" t="n">
        <v>16</v>
      </c>
      <c r="B19" s="31" t="n">
        <f aca="false">Summary!$B$5+IF(D19=1,0,IF(C19=1,Summary!$B$6,NA()))+(MATCH(1,E19:L19,0)-1)*Summary!$B$7+(MATCH(1,M19:T19,0)-1)*Summary!$B$8+(MATCH(1,U19:AB19,0)-1)*Summary!$B$9</f>
        <v>32</v>
      </c>
      <c r="C19" s="32" t="n">
        <v>0</v>
      </c>
      <c r="D19" s="32" t="n">
        <v>1</v>
      </c>
      <c r="E19" s="32" t="n">
        <v>1</v>
      </c>
      <c r="F19" s="32" t="n">
        <v>0</v>
      </c>
      <c r="G19" s="32" t="n">
        <v>0</v>
      </c>
      <c r="H19" s="32" t="n">
        <v>0</v>
      </c>
      <c r="I19" s="32" t="n">
        <v>0</v>
      </c>
      <c r="J19" s="32" t="n">
        <v>0</v>
      </c>
      <c r="K19" s="32" t="n">
        <v>0</v>
      </c>
      <c r="L19" s="32" t="n">
        <v>0</v>
      </c>
      <c r="M19" s="32" t="n">
        <v>0</v>
      </c>
      <c r="N19" s="32" t="n">
        <v>0</v>
      </c>
      <c r="O19" s="32" t="n">
        <v>1</v>
      </c>
      <c r="P19" s="32" t="n">
        <v>0</v>
      </c>
      <c r="Q19" s="32" t="n">
        <v>0</v>
      </c>
      <c r="R19" s="32" t="n">
        <v>0</v>
      </c>
      <c r="S19" s="32" t="n">
        <v>0</v>
      </c>
      <c r="T19" s="32" t="n">
        <v>0</v>
      </c>
      <c r="U19" s="32" t="n">
        <v>1</v>
      </c>
      <c r="V19" s="32" t="n">
        <v>0</v>
      </c>
      <c r="W19" s="32" t="n">
        <v>0</v>
      </c>
      <c r="X19" s="32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0" t="s">
        <v>120</v>
      </c>
      <c r="AD19" s="37" t="n">
        <f aca="false">B19-B18</f>
        <v>0.125</v>
      </c>
    </row>
    <row r="20" customFormat="false" ht="15" hidden="false" customHeight="false" outlineLevel="0" collapsed="false">
      <c r="A20" s="33" t="n">
        <v>17</v>
      </c>
      <c r="B20" s="34" t="n">
        <f aca="false">Summary!$B$5+IF(D20=1,0,IF(C20=1,Summary!$B$6,NA()))+(MATCH(1,E20:L20,0)-1)*Summary!$B$7+(MATCH(1,M20:T20,0)-1)*Summary!$B$8+(MATCH(1,U20:AB20,0)-1)*Summary!$B$9</f>
        <v>32.125</v>
      </c>
      <c r="C20" s="35" t="n">
        <v>0</v>
      </c>
      <c r="D20" s="35" t="n">
        <v>1</v>
      </c>
      <c r="E20" s="35" t="n">
        <v>1</v>
      </c>
      <c r="F20" s="35" t="n">
        <v>0</v>
      </c>
      <c r="G20" s="35" t="n">
        <v>0</v>
      </c>
      <c r="H20" s="35" t="n">
        <v>0</v>
      </c>
      <c r="I20" s="35" t="n">
        <v>0</v>
      </c>
      <c r="J20" s="35" t="n">
        <v>0</v>
      </c>
      <c r="K20" s="35" t="n">
        <v>0</v>
      </c>
      <c r="L20" s="35" t="n">
        <v>0</v>
      </c>
      <c r="M20" s="35" t="n">
        <v>0</v>
      </c>
      <c r="N20" s="35" t="n">
        <v>0</v>
      </c>
      <c r="O20" s="35" t="n">
        <v>1</v>
      </c>
      <c r="P20" s="35" t="n">
        <v>0</v>
      </c>
      <c r="Q20" s="35" t="n">
        <v>0</v>
      </c>
      <c r="R20" s="35" t="n">
        <v>0</v>
      </c>
      <c r="S20" s="35" t="n">
        <v>0</v>
      </c>
      <c r="T20" s="35" t="n">
        <v>0</v>
      </c>
      <c r="U20" s="35" t="n">
        <v>0</v>
      </c>
      <c r="V20" s="35" t="n">
        <v>1</v>
      </c>
      <c r="W20" s="35" t="n">
        <v>0</v>
      </c>
      <c r="X20" s="35" t="n">
        <v>0</v>
      </c>
      <c r="Y20" s="35" t="n">
        <v>0</v>
      </c>
      <c r="Z20" s="35" t="n">
        <v>0</v>
      </c>
      <c r="AA20" s="35" t="n">
        <v>0</v>
      </c>
      <c r="AB20" s="35" t="n">
        <v>0</v>
      </c>
      <c r="AC20" s="33" t="s">
        <v>121</v>
      </c>
      <c r="AD20" s="36" t="n">
        <f aca="false">B20-B19</f>
        <v>0.125</v>
      </c>
    </row>
    <row r="21" customFormat="false" ht="15" hidden="false" customHeight="false" outlineLevel="0" collapsed="false">
      <c r="A21" s="30" t="n">
        <v>18</v>
      </c>
      <c r="B21" s="31" t="n">
        <f aca="false">Summary!$B$5+IF(D21=1,0,IF(C21=1,Summary!$B$6,NA()))+(MATCH(1,E21:L21,0)-1)*Summary!$B$7+(MATCH(1,M21:T21,0)-1)*Summary!$B$8+(MATCH(1,U21:AB21,0)-1)*Summary!$B$9</f>
        <v>32.25</v>
      </c>
      <c r="C21" s="32" t="n">
        <v>0</v>
      </c>
      <c r="D21" s="32" t="n">
        <v>1</v>
      </c>
      <c r="E21" s="32" t="n">
        <v>1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  <c r="N21" s="32" t="n">
        <v>0</v>
      </c>
      <c r="O21" s="32" t="n">
        <v>1</v>
      </c>
      <c r="P21" s="32" t="n">
        <v>0</v>
      </c>
      <c r="Q21" s="32" t="n">
        <v>0</v>
      </c>
      <c r="R21" s="32" t="n">
        <v>0</v>
      </c>
      <c r="S21" s="32" t="n">
        <v>0</v>
      </c>
      <c r="T21" s="32" t="n">
        <v>0</v>
      </c>
      <c r="U21" s="32" t="n">
        <v>0</v>
      </c>
      <c r="V21" s="32" t="n">
        <v>0</v>
      </c>
      <c r="W21" s="32" t="n">
        <v>1</v>
      </c>
      <c r="X21" s="32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0" t="s">
        <v>122</v>
      </c>
      <c r="AD21" s="37" t="n">
        <f aca="false">B21-B20</f>
        <v>0.125</v>
      </c>
    </row>
    <row r="22" customFormat="false" ht="15" hidden="false" customHeight="false" outlineLevel="0" collapsed="false">
      <c r="A22" s="33" t="n">
        <v>19</v>
      </c>
      <c r="B22" s="34" t="n">
        <f aca="false">Summary!$B$5+IF(D22=1,0,IF(C22=1,Summary!$B$6,NA()))+(MATCH(1,E22:L22,0)-1)*Summary!$B$7+(MATCH(1,M22:T22,0)-1)*Summary!$B$8+(MATCH(1,U22:AB22,0)-1)*Summary!$B$9</f>
        <v>32.375</v>
      </c>
      <c r="C22" s="35" t="n">
        <v>0</v>
      </c>
      <c r="D22" s="35" t="n">
        <v>1</v>
      </c>
      <c r="E22" s="35" t="n">
        <v>1</v>
      </c>
      <c r="F22" s="35" t="n">
        <v>0</v>
      </c>
      <c r="G22" s="35" t="n">
        <v>0</v>
      </c>
      <c r="H22" s="35" t="n">
        <v>0</v>
      </c>
      <c r="I22" s="35" t="n">
        <v>0</v>
      </c>
      <c r="J22" s="35" t="n">
        <v>0</v>
      </c>
      <c r="K22" s="35" t="n">
        <v>0</v>
      </c>
      <c r="L22" s="35" t="n">
        <v>0</v>
      </c>
      <c r="M22" s="35" t="n">
        <v>0</v>
      </c>
      <c r="N22" s="35" t="n">
        <v>0</v>
      </c>
      <c r="O22" s="35" t="n">
        <v>1</v>
      </c>
      <c r="P22" s="35" t="n">
        <v>0</v>
      </c>
      <c r="Q22" s="35" t="n">
        <v>0</v>
      </c>
      <c r="R22" s="35" t="n">
        <v>0</v>
      </c>
      <c r="S22" s="35" t="n">
        <v>0</v>
      </c>
      <c r="T22" s="35" t="n">
        <v>0</v>
      </c>
      <c r="U22" s="35" t="n">
        <v>0</v>
      </c>
      <c r="V22" s="35" t="n">
        <v>0</v>
      </c>
      <c r="W22" s="35" t="n">
        <v>0</v>
      </c>
      <c r="X22" s="35" t="n">
        <v>1</v>
      </c>
      <c r="Y22" s="35" t="n">
        <v>0</v>
      </c>
      <c r="Z22" s="35" t="n">
        <v>0</v>
      </c>
      <c r="AA22" s="35" t="n">
        <v>0</v>
      </c>
      <c r="AB22" s="35" t="n">
        <v>0</v>
      </c>
      <c r="AC22" s="33" t="s">
        <v>123</v>
      </c>
      <c r="AD22" s="36" t="n">
        <f aca="false">B22-B21</f>
        <v>0.125</v>
      </c>
    </row>
    <row r="23" customFormat="false" ht="15" hidden="false" customHeight="false" outlineLevel="0" collapsed="false">
      <c r="A23" s="30" t="n">
        <v>20</v>
      </c>
      <c r="B23" s="31" t="n">
        <f aca="false">Summary!$B$5+IF(D23=1,0,IF(C23=1,Summary!$B$6,NA()))+(MATCH(1,E23:L23,0)-1)*Summary!$B$7+(MATCH(1,M23:T23,0)-1)*Summary!$B$8+(MATCH(1,U23:AB23,0)-1)*Summary!$B$9</f>
        <v>32.5</v>
      </c>
      <c r="C23" s="32" t="n">
        <v>0</v>
      </c>
      <c r="D23" s="32" t="n">
        <v>1</v>
      </c>
      <c r="E23" s="32" t="n">
        <v>1</v>
      </c>
      <c r="F23" s="32" t="n">
        <v>0</v>
      </c>
      <c r="G23" s="32" t="n">
        <v>0</v>
      </c>
      <c r="H23" s="32" t="n">
        <v>0</v>
      </c>
      <c r="I23" s="32" t="n">
        <v>0</v>
      </c>
      <c r="J23" s="32" t="n">
        <v>0</v>
      </c>
      <c r="K23" s="32" t="n">
        <v>0</v>
      </c>
      <c r="L23" s="32" t="n">
        <v>0</v>
      </c>
      <c r="M23" s="32" t="n">
        <v>0</v>
      </c>
      <c r="N23" s="32" t="n">
        <v>0</v>
      </c>
      <c r="O23" s="32" t="n">
        <v>1</v>
      </c>
      <c r="P23" s="32" t="n">
        <v>0</v>
      </c>
      <c r="Q23" s="32" t="n">
        <v>0</v>
      </c>
      <c r="R23" s="32" t="n">
        <v>0</v>
      </c>
      <c r="S23" s="32" t="n">
        <v>0</v>
      </c>
      <c r="T23" s="32" t="n">
        <v>0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1</v>
      </c>
      <c r="Z23" s="32" t="n">
        <v>0</v>
      </c>
      <c r="AA23" s="32" t="n">
        <v>0</v>
      </c>
      <c r="AB23" s="32" t="n">
        <v>0</v>
      </c>
      <c r="AC23" s="30" t="s">
        <v>124</v>
      </c>
      <c r="AD23" s="37" t="n">
        <f aca="false">B23-B22</f>
        <v>0.125</v>
      </c>
    </row>
    <row r="24" customFormat="false" ht="15" hidden="false" customHeight="false" outlineLevel="0" collapsed="false">
      <c r="A24" s="33" t="n">
        <v>21</v>
      </c>
      <c r="B24" s="34" t="n">
        <f aca="false">Summary!$B$5+IF(D24=1,0,IF(C24=1,Summary!$B$6,NA()))+(MATCH(1,E24:L24,0)-1)*Summary!$B$7+(MATCH(1,M24:T24,0)-1)*Summary!$B$8+(MATCH(1,U24:AB24,0)-1)*Summary!$B$9</f>
        <v>32.625</v>
      </c>
      <c r="C24" s="35" t="n">
        <v>0</v>
      </c>
      <c r="D24" s="35" t="n">
        <v>1</v>
      </c>
      <c r="E24" s="35" t="n">
        <v>1</v>
      </c>
      <c r="F24" s="35" t="n">
        <v>0</v>
      </c>
      <c r="G24" s="35" t="n">
        <v>0</v>
      </c>
      <c r="H24" s="35" t="n">
        <v>0</v>
      </c>
      <c r="I24" s="35" t="n">
        <v>0</v>
      </c>
      <c r="J24" s="35" t="n">
        <v>0</v>
      </c>
      <c r="K24" s="35" t="n">
        <v>0</v>
      </c>
      <c r="L24" s="35" t="n">
        <v>0</v>
      </c>
      <c r="M24" s="35" t="n">
        <v>0</v>
      </c>
      <c r="N24" s="35" t="n">
        <v>0</v>
      </c>
      <c r="O24" s="35" t="n">
        <v>1</v>
      </c>
      <c r="P24" s="35" t="n">
        <v>0</v>
      </c>
      <c r="Q24" s="35" t="n">
        <v>0</v>
      </c>
      <c r="R24" s="35" t="n">
        <v>0</v>
      </c>
      <c r="S24" s="35" t="n">
        <v>0</v>
      </c>
      <c r="T24" s="35" t="n">
        <v>0</v>
      </c>
      <c r="U24" s="35" t="n">
        <v>0</v>
      </c>
      <c r="V24" s="35" t="n">
        <v>0</v>
      </c>
      <c r="W24" s="35" t="n">
        <v>0</v>
      </c>
      <c r="X24" s="35" t="n">
        <v>0</v>
      </c>
      <c r="Y24" s="35" t="n">
        <v>0</v>
      </c>
      <c r="Z24" s="35" t="n">
        <v>1</v>
      </c>
      <c r="AA24" s="35" t="n">
        <v>0</v>
      </c>
      <c r="AB24" s="35" t="n">
        <v>0</v>
      </c>
      <c r="AC24" s="33" t="s">
        <v>125</v>
      </c>
      <c r="AD24" s="36" t="n">
        <f aca="false">B24-B23</f>
        <v>0.125</v>
      </c>
    </row>
    <row r="25" customFormat="false" ht="15" hidden="false" customHeight="false" outlineLevel="0" collapsed="false">
      <c r="A25" s="30" t="n">
        <v>22</v>
      </c>
      <c r="B25" s="31" t="n">
        <f aca="false">Summary!$B$5+IF(D25=1,0,IF(C25=1,Summary!$B$6,NA()))+(MATCH(1,E25:L25,0)-1)*Summary!$B$7+(MATCH(1,M25:T25,0)-1)*Summary!$B$8+(MATCH(1,U25:AB25,0)-1)*Summary!$B$9</f>
        <v>32.75</v>
      </c>
      <c r="C25" s="32" t="n">
        <v>0</v>
      </c>
      <c r="D25" s="32" t="n">
        <v>1</v>
      </c>
      <c r="E25" s="32" t="n">
        <v>1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0</v>
      </c>
      <c r="K25" s="32" t="n">
        <v>0</v>
      </c>
      <c r="L25" s="32" t="n">
        <v>0</v>
      </c>
      <c r="M25" s="32" t="n">
        <v>0</v>
      </c>
      <c r="N25" s="32" t="n">
        <v>0</v>
      </c>
      <c r="O25" s="32" t="n">
        <v>1</v>
      </c>
      <c r="P25" s="32" t="n">
        <v>0</v>
      </c>
      <c r="Q25" s="32" t="n">
        <v>0</v>
      </c>
      <c r="R25" s="32" t="n">
        <v>0</v>
      </c>
      <c r="S25" s="32" t="n">
        <v>0</v>
      </c>
      <c r="T25" s="32" t="n">
        <v>0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32" t="n">
        <v>0</v>
      </c>
      <c r="AA25" s="32" t="n">
        <v>1</v>
      </c>
      <c r="AB25" s="32" t="n">
        <v>0</v>
      </c>
      <c r="AC25" s="30" t="s">
        <v>126</v>
      </c>
      <c r="AD25" s="37" t="n">
        <f aca="false">B25-B24</f>
        <v>0.125</v>
      </c>
    </row>
    <row r="26" customFormat="false" ht="15" hidden="false" customHeight="false" outlineLevel="0" collapsed="false">
      <c r="A26" s="33" t="n">
        <v>23</v>
      </c>
      <c r="B26" s="34" t="n">
        <f aca="false">Summary!$B$5+IF(D26=1,0,IF(C26=1,Summary!$B$6,NA()))+(MATCH(1,E26:L26,0)-1)*Summary!$B$7+(MATCH(1,M26:T26,0)-1)*Summary!$B$8+(MATCH(1,U26:AB26,0)-1)*Summary!$B$9</f>
        <v>32.875</v>
      </c>
      <c r="C26" s="35" t="n">
        <v>0</v>
      </c>
      <c r="D26" s="35" t="n">
        <v>1</v>
      </c>
      <c r="E26" s="35" t="n">
        <v>1</v>
      </c>
      <c r="F26" s="35" t="n">
        <v>0</v>
      </c>
      <c r="G26" s="35" t="n">
        <v>0</v>
      </c>
      <c r="H26" s="35" t="n">
        <v>0</v>
      </c>
      <c r="I26" s="35" t="n">
        <v>0</v>
      </c>
      <c r="J26" s="35" t="n">
        <v>0</v>
      </c>
      <c r="K26" s="35" t="n">
        <v>0</v>
      </c>
      <c r="L26" s="35" t="n">
        <v>0</v>
      </c>
      <c r="M26" s="35" t="n">
        <v>0</v>
      </c>
      <c r="N26" s="35" t="n">
        <v>0</v>
      </c>
      <c r="O26" s="35" t="n">
        <v>1</v>
      </c>
      <c r="P26" s="35" t="n">
        <v>0</v>
      </c>
      <c r="Q26" s="35" t="n">
        <v>0</v>
      </c>
      <c r="R26" s="35" t="n">
        <v>0</v>
      </c>
      <c r="S26" s="35" t="n">
        <v>0</v>
      </c>
      <c r="T26" s="35" t="n">
        <v>0</v>
      </c>
      <c r="U26" s="35" t="n">
        <v>0</v>
      </c>
      <c r="V26" s="35" t="n">
        <v>0</v>
      </c>
      <c r="W26" s="35" t="n">
        <v>0</v>
      </c>
      <c r="X26" s="35" t="n">
        <v>0</v>
      </c>
      <c r="Y26" s="35" t="n">
        <v>0</v>
      </c>
      <c r="Z26" s="35" t="n">
        <v>0</v>
      </c>
      <c r="AA26" s="35" t="n">
        <v>0</v>
      </c>
      <c r="AB26" s="35" t="n">
        <v>1</v>
      </c>
      <c r="AC26" s="33" t="s">
        <v>127</v>
      </c>
      <c r="AD26" s="36" t="n">
        <f aca="false">B26-B25</f>
        <v>0.125</v>
      </c>
    </row>
    <row r="27" customFormat="false" ht="15" hidden="false" customHeight="false" outlineLevel="0" collapsed="false">
      <c r="A27" s="30" t="n">
        <v>24</v>
      </c>
      <c r="B27" s="31" t="n">
        <f aca="false">Summary!$B$5+IF(D27=1,0,IF(C27=1,Summary!$B$6,NA()))+(MATCH(1,E27:L27,0)-1)*Summary!$B$7+(MATCH(1,M27:T27,0)-1)*Summary!$B$8+(MATCH(1,U27:AB27,0)-1)*Summary!$B$9</f>
        <v>33</v>
      </c>
      <c r="C27" s="32" t="n">
        <v>0</v>
      </c>
      <c r="D27" s="32" t="n">
        <v>1</v>
      </c>
      <c r="E27" s="32" t="n">
        <v>1</v>
      </c>
      <c r="F27" s="32" t="n">
        <v>0</v>
      </c>
      <c r="G27" s="32" t="n">
        <v>0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  <c r="N27" s="32" t="n">
        <v>0</v>
      </c>
      <c r="O27" s="32" t="n">
        <v>0</v>
      </c>
      <c r="P27" s="32" t="n">
        <v>1</v>
      </c>
      <c r="Q27" s="32" t="n">
        <v>0</v>
      </c>
      <c r="R27" s="32" t="n">
        <v>0</v>
      </c>
      <c r="S27" s="32" t="n">
        <v>0</v>
      </c>
      <c r="T27" s="32" t="n">
        <v>0</v>
      </c>
      <c r="U27" s="32" t="n">
        <v>1</v>
      </c>
      <c r="V27" s="32" t="n">
        <v>0</v>
      </c>
      <c r="W27" s="32" t="n">
        <v>0</v>
      </c>
      <c r="X27" s="32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0" t="s">
        <v>128</v>
      </c>
      <c r="AD27" s="37" t="n">
        <f aca="false">B27-B26</f>
        <v>0.125</v>
      </c>
    </row>
    <row r="28" customFormat="false" ht="15" hidden="false" customHeight="false" outlineLevel="0" collapsed="false">
      <c r="A28" s="33" t="n">
        <v>25</v>
      </c>
      <c r="B28" s="34" t="n">
        <f aca="false">Summary!$B$5+IF(D28=1,0,IF(C28=1,Summary!$B$6,NA()))+(MATCH(1,E28:L28,0)-1)*Summary!$B$7+(MATCH(1,M28:T28,0)-1)*Summary!$B$8+(MATCH(1,U28:AB28,0)-1)*Summary!$B$9</f>
        <v>33.125</v>
      </c>
      <c r="C28" s="35" t="n">
        <v>0</v>
      </c>
      <c r="D28" s="35" t="n">
        <v>1</v>
      </c>
      <c r="E28" s="35" t="n">
        <v>1</v>
      </c>
      <c r="F28" s="35" t="n">
        <v>0</v>
      </c>
      <c r="G28" s="35" t="n">
        <v>0</v>
      </c>
      <c r="H28" s="35" t="n">
        <v>0</v>
      </c>
      <c r="I28" s="35" t="n">
        <v>0</v>
      </c>
      <c r="J28" s="35" t="n">
        <v>0</v>
      </c>
      <c r="K28" s="35" t="n">
        <v>0</v>
      </c>
      <c r="L28" s="35" t="n">
        <v>0</v>
      </c>
      <c r="M28" s="35" t="n">
        <v>0</v>
      </c>
      <c r="N28" s="35" t="n">
        <v>0</v>
      </c>
      <c r="O28" s="35" t="n">
        <v>0</v>
      </c>
      <c r="P28" s="35" t="n">
        <v>1</v>
      </c>
      <c r="Q28" s="35" t="n">
        <v>0</v>
      </c>
      <c r="R28" s="35" t="n">
        <v>0</v>
      </c>
      <c r="S28" s="35" t="n">
        <v>0</v>
      </c>
      <c r="T28" s="35" t="n">
        <v>0</v>
      </c>
      <c r="U28" s="35" t="n">
        <v>0</v>
      </c>
      <c r="V28" s="35" t="n">
        <v>1</v>
      </c>
      <c r="W28" s="35" t="n">
        <v>0</v>
      </c>
      <c r="X28" s="35" t="n">
        <v>0</v>
      </c>
      <c r="Y28" s="35" t="n">
        <v>0</v>
      </c>
      <c r="Z28" s="35" t="n">
        <v>0</v>
      </c>
      <c r="AA28" s="35" t="n">
        <v>0</v>
      </c>
      <c r="AB28" s="35" t="n">
        <v>0</v>
      </c>
      <c r="AC28" s="33" t="s">
        <v>129</v>
      </c>
      <c r="AD28" s="36" t="n">
        <f aca="false">B28-B27</f>
        <v>0.125</v>
      </c>
    </row>
    <row r="29" customFormat="false" ht="15" hidden="false" customHeight="false" outlineLevel="0" collapsed="false">
      <c r="A29" s="30" t="n">
        <v>26</v>
      </c>
      <c r="B29" s="31" t="n">
        <f aca="false">Summary!$B$5+IF(D29=1,0,IF(C29=1,Summary!$B$6,NA()))+(MATCH(1,E29:L29,0)-1)*Summary!$B$7+(MATCH(1,M29:T29,0)-1)*Summary!$B$8+(MATCH(1,U29:AB29,0)-1)*Summary!$B$9</f>
        <v>33.25</v>
      </c>
      <c r="C29" s="32" t="n">
        <v>0</v>
      </c>
      <c r="D29" s="32" t="n">
        <v>1</v>
      </c>
      <c r="E29" s="32" t="n">
        <v>1</v>
      </c>
      <c r="F29" s="32" t="n">
        <v>0</v>
      </c>
      <c r="G29" s="32" t="n">
        <v>0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>
        <v>0</v>
      </c>
      <c r="O29" s="32" t="n">
        <v>0</v>
      </c>
      <c r="P29" s="32" t="n">
        <v>1</v>
      </c>
      <c r="Q29" s="32" t="n">
        <v>0</v>
      </c>
      <c r="R29" s="32" t="n">
        <v>0</v>
      </c>
      <c r="S29" s="32" t="n">
        <v>0</v>
      </c>
      <c r="T29" s="32" t="n">
        <v>0</v>
      </c>
      <c r="U29" s="32" t="n">
        <v>0</v>
      </c>
      <c r="V29" s="32" t="n">
        <v>0</v>
      </c>
      <c r="W29" s="32" t="n">
        <v>1</v>
      </c>
      <c r="X29" s="32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0" t="s">
        <v>130</v>
      </c>
      <c r="AD29" s="37" t="n">
        <f aca="false">B29-B28</f>
        <v>0.125</v>
      </c>
    </row>
    <row r="30" customFormat="false" ht="15" hidden="false" customHeight="false" outlineLevel="0" collapsed="false">
      <c r="A30" s="33" t="n">
        <v>27</v>
      </c>
      <c r="B30" s="34" t="n">
        <f aca="false">Summary!$B$5+IF(D30=1,0,IF(C30=1,Summary!$B$6,NA()))+(MATCH(1,E30:L30,0)-1)*Summary!$B$7+(MATCH(1,M30:T30,0)-1)*Summary!$B$8+(MATCH(1,U30:AB30,0)-1)*Summary!$B$9</f>
        <v>33.375</v>
      </c>
      <c r="C30" s="35" t="n">
        <v>0</v>
      </c>
      <c r="D30" s="35" t="n">
        <v>1</v>
      </c>
      <c r="E30" s="35" t="n">
        <v>1</v>
      </c>
      <c r="F30" s="35" t="n">
        <v>0</v>
      </c>
      <c r="G30" s="35" t="n">
        <v>0</v>
      </c>
      <c r="H30" s="35" t="n">
        <v>0</v>
      </c>
      <c r="I30" s="35" t="n">
        <v>0</v>
      </c>
      <c r="J30" s="35" t="n">
        <v>0</v>
      </c>
      <c r="K30" s="35" t="n">
        <v>0</v>
      </c>
      <c r="L30" s="35" t="n">
        <v>0</v>
      </c>
      <c r="M30" s="35" t="n">
        <v>0</v>
      </c>
      <c r="N30" s="35" t="n">
        <v>0</v>
      </c>
      <c r="O30" s="35" t="n">
        <v>0</v>
      </c>
      <c r="P30" s="35" t="n">
        <v>1</v>
      </c>
      <c r="Q30" s="35" t="n">
        <v>0</v>
      </c>
      <c r="R30" s="35" t="n">
        <v>0</v>
      </c>
      <c r="S30" s="35" t="n">
        <v>0</v>
      </c>
      <c r="T30" s="35" t="n">
        <v>0</v>
      </c>
      <c r="U30" s="35" t="n">
        <v>0</v>
      </c>
      <c r="V30" s="35" t="n">
        <v>0</v>
      </c>
      <c r="W30" s="35" t="n">
        <v>0</v>
      </c>
      <c r="X30" s="35" t="n">
        <v>1</v>
      </c>
      <c r="Y30" s="35" t="n">
        <v>0</v>
      </c>
      <c r="Z30" s="35" t="n">
        <v>0</v>
      </c>
      <c r="AA30" s="35" t="n">
        <v>0</v>
      </c>
      <c r="AB30" s="35" t="n">
        <v>0</v>
      </c>
      <c r="AC30" s="33" t="s">
        <v>131</v>
      </c>
      <c r="AD30" s="36" t="n">
        <f aca="false">B30-B29</f>
        <v>0.125</v>
      </c>
    </row>
    <row r="31" customFormat="false" ht="15" hidden="false" customHeight="false" outlineLevel="0" collapsed="false">
      <c r="A31" s="30" t="n">
        <v>28</v>
      </c>
      <c r="B31" s="31" t="n">
        <f aca="false">Summary!$B$5+IF(D31=1,0,IF(C31=1,Summary!$B$6,NA()))+(MATCH(1,E31:L31,0)-1)*Summary!$B$7+(MATCH(1,M31:T31,0)-1)*Summary!$B$8+(MATCH(1,U31:AB31,0)-1)*Summary!$B$9</f>
        <v>33.5</v>
      </c>
      <c r="C31" s="32" t="n">
        <v>0</v>
      </c>
      <c r="D31" s="32" t="n">
        <v>1</v>
      </c>
      <c r="E31" s="32" t="n">
        <v>1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  <c r="N31" s="32" t="n">
        <v>0</v>
      </c>
      <c r="O31" s="32" t="n">
        <v>0</v>
      </c>
      <c r="P31" s="32" t="n">
        <v>1</v>
      </c>
      <c r="Q31" s="32" t="n">
        <v>0</v>
      </c>
      <c r="R31" s="32" t="n">
        <v>0</v>
      </c>
      <c r="S31" s="32" t="n">
        <v>0</v>
      </c>
      <c r="T31" s="32" t="n">
        <v>0</v>
      </c>
      <c r="U31" s="32" t="n">
        <v>0</v>
      </c>
      <c r="V31" s="32" t="n">
        <v>0</v>
      </c>
      <c r="W31" s="32" t="n">
        <v>0</v>
      </c>
      <c r="X31" s="32" t="n">
        <v>0</v>
      </c>
      <c r="Y31" s="32" t="n">
        <v>1</v>
      </c>
      <c r="Z31" s="32" t="n">
        <v>0</v>
      </c>
      <c r="AA31" s="32" t="n">
        <v>0</v>
      </c>
      <c r="AB31" s="32" t="n">
        <v>0</v>
      </c>
      <c r="AC31" s="30" t="s">
        <v>132</v>
      </c>
      <c r="AD31" s="37" t="n">
        <f aca="false">B31-B30</f>
        <v>0.125</v>
      </c>
    </row>
    <row r="32" customFormat="false" ht="15" hidden="false" customHeight="false" outlineLevel="0" collapsed="false">
      <c r="A32" s="33" t="n">
        <v>29</v>
      </c>
      <c r="B32" s="34" t="n">
        <f aca="false">Summary!$B$5+IF(D32=1,0,IF(C32=1,Summary!$B$6,NA()))+(MATCH(1,E32:L32,0)-1)*Summary!$B$7+(MATCH(1,M32:T32,0)-1)*Summary!$B$8+(MATCH(1,U32:AB32,0)-1)*Summary!$B$9</f>
        <v>33.625</v>
      </c>
      <c r="C32" s="35" t="n">
        <v>0</v>
      </c>
      <c r="D32" s="35" t="n">
        <v>1</v>
      </c>
      <c r="E32" s="35" t="n">
        <v>1</v>
      </c>
      <c r="F32" s="35" t="n">
        <v>0</v>
      </c>
      <c r="G32" s="35" t="n">
        <v>0</v>
      </c>
      <c r="H32" s="35" t="n">
        <v>0</v>
      </c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  <c r="N32" s="35" t="n">
        <v>0</v>
      </c>
      <c r="O32" s="35" t="n">
        <v>0</v>
      </c>
      <c r="P32" s="35" t="n">
        <v>1</v>
      </c>
      <c r="Q32" s="35" t="n">
        <v>0</v>
      </c>
      <c r="R32" s="35" t="n">
        <v>0</v>
      </c>
      <c r="S32" s="35" t="n">
        <v>0</v>
      </c>
      <c r="T32" s="35" t="n">
        <v>0</v>
      </c>
      <c r="U32" s="35" t="n">
        <v>0</v>
      </c>
      <c r="V32" s="35" t="n">
        <v>0</v>
      </c>
      <c r="W32" s="35" t="n">
        <v>0</v>
      </c>
      <c r="X32" s="35" t="n">
        <v>0</v>
      </c>
      <c r="Y32" s="35" t="n">
        <v>0</v>
      </c>
      <c r="Z32" s="35" t="n">
        <v>1</v>
      </c>
      <c r="AA32" s="35" t="n">
        <v>0</v>
      </c>
      <c r="AB32" s="35" t="n">
        <v>0</v>
      </c>
      <c r="AC32" s="33" t="s">
        <v>133</v>
      </c>
      <c r="AD32" s="36" t="n">
        <f aca="false">B32-B31</f>
        <v>0.125</v>
      </c>
    </row>
    <row r="33" customFormat="false" ht="15" hidden="false" customHeight="false" outlineLevel="0" collapsed="false">
      <c r="A33" s="30" t="n">
        <v>30</v>
      </c>
      <c r="B33" s="31" t="n">
        <f aca="false">Summary!$B$5+IF(D33=1,0,IF(C33=1,Summary!$B$6,NA()))+(MATCH(1,E33:L33,0)-1)*Summary!$B$7+(MATCH(1,M33:T33,0)-1)*Summary!$B$8+(MATCH(1,U33:AB33,0)-1)*Summary!$B$9</f>
        <v>33.75</v>
      </c>
      <c r="C33" s="32" t="n">
        <v>0</v>
      </c>
      <c r="D33" s="32" t="n">
        <v>1</v>
      </c>
      <c r="E33" s="32" t="n">
        <v>1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  <c r="N33" s="32" t="n">
        <v>0</v>
      </c>
      <c r="O33" s="32" t="n">
        <v>0</v>
      </c>
      <c r="P33" s="32" t="n">
        <v>1</v>
      </c>
      <c r="Q33" s="32" t="n">
        <v>0</v>
      </c>
      <c r="R33" s="32" t="n">
        <v>0</v>
      </c>
      <c r="S33" s="32" t="n">
        <v>0</v>
      </c>
      <c r="T33" s="32" t="n">
        <v>0</v>
      </c>
      <c r="U33" s="32" t="n">
        <v>0</v>
      </c>
      <c r="V33" s="32" t="n">
        <v>0</v>
      </c>
      <c r="W33" s="32" t="n">
        <v>0</v>
      </c>
      <c r="X33" s="32" t="n">
        <v>0</v>
      </c>
      <c r="Y33" s="32" t="n">
        <v>0</v>
      </c>
      <c r="Z33" s="32" t="n">
        <v>0</v>
      </c>
      <c r="AA33" s="32" t="n">
        <v>1</v>
      </c>
      <c r="AB33" s="32" t="n">
        <v>0</v>
      </c>
      <c r="AC33" s="30" t="s">
        <v>134</v>
      </c>
      <c r="AD33" s="37" t="n">
        <f aca="false">B33-B32</f>
        <v>0.125</v>
      </c>
    </row>
    <row r="34" customFormat="false" ht="15" hidden="false" customHeight="false" outlineLevel="0" collapsed="false">
      <c r="A34" s="33" t="n">
        <v>31</v>
      </c>
      <c r="B34" s="34" t="n">
        <f aca="false">Summary!$B$5+IF(D34=1,0,IF(C34=1,Summary!$B$6,NA()))+(MATCH(1,E34:L34,0)-1)*Summary!$B$7+(MATCH(1,M34:T34,0)-1)*Summary!$B$8+(MATCH(1,U34:AB34,0)-1)*Summary!$B$9</f>
        <v>33.875</v>
      </c>
      <c r="C34" s="35" t="n">
        <v>0</v>
      </c>
      <c r="D34" s="35" t="n">
        <v>1</v>
      </c>
      <c r="E34" s="35" t="n">
        <v>1</v>
      </c>
      <c r="F34" s="35" t="n">
        <v>0</v>
      </c>
      <c r="G34" s="35" t="n">
        <v>0</v>
      </c>
      <c r="H34" s="35" t="n">
        <v>0</v>
      </c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  <c r="N34" s="35" t="n">
        <v>0</v>
      </c>
      <c r="O34" s="35" t="n">
        <v>0</v>
      </c>
      <c r="P34" s="35" t="n">
        <v>1</v>
      </c>
      <c r="Q34" s="35" t="n">
        <v>0</v>
      </c>
      <c r="R34" s="35" t="n">
        <v>0</v>
      </c>
      <c r="S34" s="35" t="n">
        <v>0</v>
      </c>
      <c r="T34" s="35" t="n">
        <v>0</v>
      </c>
      <c r="U34" s="35" t="n">
        <v>0</v>
      </c>
      <c r="V34" s="35" t="n">
        <v>0</v>
      </c>
      <c r="W34" s="35" t="n">
        <v>0</v>
      </c>
      <c r="X34" s="35" t="n">
        <v>0</v>
      </c>
      <c r="Y34" s="35" t="n">
        <v>0</v>
      </c>
      <c r="Z34" s="35" t="n">
        <v>0</v>
      </c>
      <c r="AA34" s="35" t="n">
        <v>0</v>
      </c>
      <c r="AB34" s="35" t="n">
        <v>1</v>
      </c>
      <c r="AC34" s="33" t="s">
        <v>135</v>
      </c>
      <c r="AD34" s="36" t="n">
        <f aca="false">B34-B33</f>
        <v>0.125</v>
      </c>
    </row>
    <row r="35" customFormat="false" ht="15" hidden="false" customHeight="false" outlineLevel="0" collapsed="false">
      <c r="A35" s="30" t="n">
        <v>32</v>
      </c>
      <c r="B35" s="31" t="n">
        <f aca="false">Summary!$B$5+IF(D35=1,0,IF(C35=1,Summary!$B$6,NA()))+(MATCH(1,E35:L35,0)-1)*Summary!$B$7+(MATCH(1,M35:T35,0)-1)*Summary!$B$8+(MATCH(1,U35:AB35,0)-1)*Summary!$B$9</f>
        <v>34</v>
      </c>
      <c r="C35" s="32" t="n">
        <v>0</v>
      </c>
      <c r="D35" s="32" t="n">
        <v>1</v>
      </c>
      <c r="E35" s="32" t="n">
        <v>1</v>
      </c>
      <c r="F35" s="32" t="n">
        <v>0</v>
      </c>
      <c r="G35" s="32" t="n">
        <v>0</v>
      </c>
      <c r="H35" s="32" t="n">
        <v>0</v>
      </c>
      <c r="I35" s="32" t="n">
        <v>0</v>
      </c>
      <c r="J35" s="32" t="n">
        <v>0</v>
      </c>
      <c r="K35" s="32" t="n">
        <v>0</v>
      </c>
      <c r="L35" s="32" t="n">
        <v>0</v>
      </c>
      <c r="M35" s="32" t="n">
        <v>0</v>
      </c>
      <c r="N35" s="32" t="n">
        <v>0</v>
      </c>
      <c r="O35" s="32" t="n">
        <v>0</v>
      </c>
      <c r="P35" s="32" t="n">
        <v>0</v>
      </c>
      <c r="Q35" s="32" t="n">
        <v>1</v>
      </c>
      <c r="R35" s="32" t="n">
        <v>0</v>
      </c>
      <c r="S35" s="32" t="n">
        <v>0</v>
      </c>
      <c r="T35" s="32" t="n">
        <v>0</v>
      </c>
      <c r="U35" s="32" t="n">
        <v>1</v>
      </c>
      <c r="V35" s="32" t="n">
        <v>0</v>
      </c>
      <c r="W35" s="32" t="n">
        <v>0</v>
      </c>
      <c r="X35" s="32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0" t="s">
        <v>136</v>
      </c>
      <c r="AD35" s="37" t="n">
        <f aca="false">B35-B34</f>
        <v>0.125</v>
      </c>
    </row>
    <row r="36" customFormat="false" ht="15" hidden="false" customHeight="false" outlineLevel="0" collapsed="false">
      <c r="A36" s="33" t="n">
        <v>33</v>
      </c>
      <c r="B36" s="34" t="n">
        <f aca="false">Summary!$B$5+IF(D36=1,0,IF(C36=1,Summary!$B$6,NA()))+(MATCH(1,E36:L36,0)-1)*Summary!$B$7+(MATCH(1,M36:T36,0)-1)*Summary!$B$8+(MATCH(1,U36:AB36,0)-1)*Summary!$B$9</f>
        <v>34.125</v>
      </c>
      <c r="C36" s="35" t="n">
        <v>0</v>
      </c>
      <c r="D36" s="35" t="n">
        <v>1</v>
      </c>
      <c r="E36" s="35" t="n">
        <v>1</v>
      </c>
      <c r="F36" s="35" t="n">
        <v>0</v>
      </c>
      <c r="G36" s="35" t="n">
        <v>0</v>
      </c>
      <c r="H36" s="35" t="n">
        <v>0</v>
      </c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  <c r="N36" s="35" t="n">
        <v>0</v>
      </c>
      <c r="O36" s="35" t="n">
        <v>0</v>
      </c>
      <c r="P36" s="35" t="n">
        <v>0</v>
      </c>
      <c r="Q36" s="35" t="n">
        <v>1</v>
      </c>
      <c r="R36" s="35" t="n">
        <v>0</v>
      </c>
      <c r="S36" s="35" t="n">
        <v>0</v>
      </c>
      <c r="T36" s="35" t="n">
        <v>0</v>
      </c>
      <c r="U36" s="35" t="n">
        <v>0</v>
      </c>
      <c r="V36" s="35" t="n">
        <v>1</v>
      </c>
      <c r="W36" s="35" t="n">
        <v>0</v>
      </c>
      <c r="X36" s="35" t="n">
        <v>0</v>
      </c>
      <c r="Y36" s="35" t="n">
        <v>0</v>
      </c>
      <c r="Z36" s="35" t="n">
        <v>0</v>
      </c>
      <c r="AA36" s="35" t="n">
        <v>0</v>
      </c>
      <c r="AB36" s="35" t="n">
        <v>0</v>
      </c>
      <c r="AC36" s="33" t="s">
        <v>137</v>
      </c>
      <c r="AD36" s="36" t="n">
        <f aca="false">B36-B35</f>
        <v>0.125</v>
      </c>
    </row>
    <row r="37" customFormat="false" ht="15" hidden="false" customHeight="false" outlineLevel="0" collapsed="false">
      <c r="A37" s="30" t="n">
        <v>34</v>
      </c>
      <c r="B37" s="31" t="n">
        <f aca="false">Summary!$B$5+IF(D37=1,0,IF(C37=1,Summary!$B$6,NA()))+(MATCH(1,E37:L37,0)-1)*Summary!$B$7+(MATCH(1,M37:T37,0)-1)*Summary!$B$8+(MATCH(1,U37:AB37,0)-1)*Summary!$B$9</f>
        <v>34.25</v>
      </c>
      <c r="C37" s="32" t="n">
        <v>0</v>
      </c>
      <c r="D37" s="32" t="n">
        <v>1</v>
      </c>
      <c r="E37" s="32" t="n">
        <v>1</v>
      </c>
      <c r="F37" s="32" t="n">
        <v>0</v>
      </c>
      <c r="G37" s="32" t="n">
        <v>0</v>
      </c>
      <c r="H37" s="32" t="n">
        <v>0</v>
      </c>
      <c r="I37" s="32" t="n">
        <v>0</v>
      </c>
      <c r="J37" s="32" t="n">
        <v>0</v>
      </c>
      <c r="K37" s="32" t="n">
        <v>0</v>
      </c>
      <c r="L37" s="32" t="n">
        <v>0</v>
      </c>
      <c r="M37" s="32" t="n">
        <v>0</v>
      </c>
      <c r="N37" s="32" t="n">
        <v>0</v>
      </c>
      <c r="O37" s="32" t="n">
        <v>0</v>
      </c>
      <c r="P37" s="32" t="n">
        <v>0</v>
      </c>
      <c r="Q37" s="32" t="n">
        <v>1</v>
      </c>
      <c r="R37" s="32" t="n">
        <v>0</v>
      </c>
      <c r="S37" s="32" t="n">
        <v>0</v>
      </c>
      <c r="T37" s="32" t="n">
        <v>0</v>
      </c>
      <c r="U37" s="32" t="n">
        <v>0</v>
      </c>
      <c r="V37" s="32" t="n">
        <v>0</v>
      </c>
      <c r="W37" s="32" t="n">
        <v>1</v>
      </c>
      <c r="X37" s="32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0" t="s">
        <v>138</v>
      </c>
      <c r="AD37" s="37" t="n">
        <f aca="false">B37-B36</f>
        <v>0.125</v>
      </c>
    </row>
    <row r="38" customFormat="false" ht="15" hidden="false" customHeight="false" outlineLevel="0" collapsed="false">
      <c r="A38" s="33" t="n">
        <v>35</v>
      </c>
      <c r="B38" s="34" t="n">
        <f aca="false">Summary!$B$5+IF(D38=1,0,IF(C38=1,Summary!$B$6,NA()))+(MATCH(1,E38:L38,0)-1)*Summary!$B$7+(MATCH(1,M38:T38,0)-1)*Summary!$B$8+(MATCH(1,U38:AB38,0)-1)*Summary!$B$9</f>
        <v>34.375</v>
      </c>
      <c r="C38" s="35" t="n">
        <v>0</v>
      </c>
      <c r="D38" s="35" t="n">
        <v>1</v>
      </c>
      <c r="E38" s="35" t="n">
        <v>1</v>
      </c>
      <c r="F38" s="35" t="n">
        <v>0</v>
      </c>
      <c r="G38" s="35" t="n">
        <v>0</v>
      </c>
      <c r="H38" s="35" t="n">
        <v>0</v>
      </c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  <c r="N38" s="35" t="n">
        <v>0</v>
      </c>
      <c r="O38" s="35" t="n">
        <v>0</v>
      </c>
      <c r="P38" s="35" t="n">
        <v>0</v>
      </c>
      <c r="Q38" s="35" t="n">
        <v>1</v>
      </c>
      <c r="R38" s="35" t="n">
        <v>0</v>
      </c>
      <c r="S38" s="35" t="n">
        <v>0</v>
      </c>
      <c r="T38" s="35" t="n">
        <v>0</v>
      </c>
      <c r="U38" s="35" t="n">
        <v>0</v>
      </c>
      <c r="V38" s="35" t="n">
        <v>0</v>
      </c>
      <c r="W38" s="35" t="n">
        <v>0</v>
      </c>
      <c r="X38" s="35" t="n">
        <v>1</v>
      </c>
      <c r="Y38" s="35" t="n">
        <v>0</v>
      </c>
      <c r="Z38" s="35" t="n">
        <v>0</v>
      </c>
      <c r="AA38" s="35" t="n">
        <v>0</v>
      </c>
      <c r="AB38" s="35" t="n">
        <v>0</v>
      </c>
      <c r="AC38" s="33" t="s">
        <v>139</v>
      </c>
      <c r="AD38" s="36" t="n">
        <f aca="false">B38-B37</f>
        <v>0.125</v>
      </c>
    </row>
    <row r="39" customFormat="false" ht="15" hidden="false" customHeight="false" outlineLevel="0" collapsed="false">
      <c r="A39" s="30" t="n">
        <v>36</v>
      </c>
      <c r="B39" s="31" t="n">
        <f aca="false">Summary!$B$5+IF(D39=1,0,IF(C39=1,Summary!$B$6,NA()))+(MATCH(1,E39:L39,0)-1)*Summary!$B$7+(MATCH(1,M39:T39,0)-1)*Summary!$B$8+(MATCH(1,U39:AB39,0)-1)*Summary!$B$9</f>
        <v>34.5</v>
      </c>
      <c r="C39" s="32" t="n">
        <v>0</v>
      </c>
      <c r="D39" s="32" t="n">
        <v>1</v>
      </c>
      <c r="E39" s="32" t="n">
        <v>1</v>
      </c>
      <c r="F39" s="32" t="n">
        <v>0</v>
      </c>
      <c r="G39" s="32" t="n">
        <v>0</v>
      </c>
      <c r="H39" s="32" t="n">
        <v>0</v>
      </c>
      <c r="I39" s="32" t="n">
        <v>0</v>
      </c>
      <c r="J39" s="32" t="n">
        <v>0</v>
      </c>
      <c r="K39" s="32" t="n">
        <v>0</v>
      </c>
      <c r="L39" s="32" t="n">
        <v>0</v>
      </c>
      <c r="M39" s="32" t="n">
        <v>0</v>
      </c>
      <c r="N39" s="32" t="n">
        <v>0</v>
      </c>
      <c r="O39" s="32" t="n">
        <v>0</v>
      </c>
      <c r="P39" s="32" t="n">
        <v>0</v>
      </c>
      <c r="Q39" s="32" t="n">
        <v>1</v>
      </c>
      <c r="R39" s="32" t="n">
        <v>0</v>
      </c>
      <c r="S39" s="32" t="n">
        <v>0</v>
      </c>
      <c r="T39" s="32" t="n">
        <v>0</v>
      </c>
      <c r="U39" s="32" t="n">
        <v>0</v>
      </c>
      <c r="V39" s="32" t="n">
        <v>0</v>
      </c>
      <c r="W39" s="32" t="n">
        <v>0</v>
      </c>
      <c r="X39" s="32" t="n">
        <v>0</v>
      </c>
      <c r="Y39" s="32" t="n">
        <v>1</v>
      </c>
      <c r="Z39" s="32" t="n">
        <v>0</v>
      </c>
      <c r="AA39" s="32" t="n">
        <v>0</v>
      </c>
      <c r="AB39" s="32" t="n">
        <v>0</v>
      </c>
      <c r="AC39" s="30" t="s">
        <v>140</v>
      </c>
      <c r="AD39" s="37" t="n">
        <f aca="false">B39-B38</f>
        <v>0.125</v>
      </c>
    </row>
    <row r="40" customFormat="false" ht="15" hidden="false" customHeight="false" outlineLevel="0" collapsed="false">
      <c r="A40" s="33" t="n">
        <v>37</v>
      </c>
      <c r="B40" s="34" t="n">
        <f aca="false">Summary!$B$5+IF(D40=1,0,IF(C40=1,Summary!$B$6,NA()))+(MATCH(1,E40:L40,0)-1)*Summary!$B$7+(MATCH(1,M40:T40,0)-1)*Summary!$B$8+(MATCH(1,U40:AB40,0)-1)*Summary!$B$9</f>
        <v>34.625</v>
      </c>
      <c r="C40" s="35" t="n">
        <v>0</v>
      </c>
      <c r="D40" s="35" t="n">
        <v>1</v>
      </c>
      <c r="E40" s="35" t="n">
        <v>1</v>
      </c>
      <c r="F40" s="35" t="n">
        <v>0</v>
      </c>
      <c r="G40" s="35" t="n">
        <v>0</v>
      </c>
      <c r="H40" s="35" t="n">
        <v>0</v>
      </c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  <c r="N40" s="35" t="n">
        <v>0</v>
      </c>
      <c r="O40" s="35" t="n">
        <v>0</v>
      </c>
      <c r="P40" s="35" t="n">
        <v>0</v>
      </c>
      <c r="Q40" s="35" t="n">
        <v>1</v>
      </c>
      <c r="R40" s="35" t="n">
        <v>0</v>
      </c>
      <c r="S40" s="35" t="n">
        <v>0</v>
      </c>
      <c r="T40" s="35" t="n">
        <v>0</v>
      </c>
      <c r="U40" s="35" t="n">
        <v>0</v>
      </c>
      <c r="V40" s="35" t="n">
        <v>0</v>
      </c>
      <c r="W40" s="35" t="n">
        <v>0</v>
      </c>
      <c r="X40" s="35" t="n">
        <v>0</v>
      </c>
      <c r="Y40" s="35" t="n">
        <v>0</v>
      </c>
      <c r="Z40" s="35" t="n">
        <v>1</v>
      </c>
      <c r="AA40" s="35" t="n">
        <v>0</v>
      </c>
      <c r="AB40" s="35" t="n">
        <v>0</v>
      </c>
      <c r="AC40" s="33" t="s">
        <v>141</v>
      </c>
      <c r="AD40" s="36" t="n">
        <f aca="false">B40-B39</f>
        <v>0.125</v>
      </c>
    </row>
    <row r="41" customFormat="false" ht="15" hidden="false" customHeight="false" outlineLevel="0" collapsed="false">
      <c r="A41" s="30" t="n">
        <v>38</v>
      </c>
      <c r="B41" s="31" t="n">
        <f aca="false">Summary!$B$5+IF(D41=1,0,IF(C41=1,Summary!$B$6,NA()))+(MATCH(1,E41:L41,0)-1)*Summary!$B$7+(MATCH(1,M41:T41,0)-1)*Summary!$B$8+(MATCH(1,U41:AB41,0)-1)*Summary!$B$9</f>
        <v>34.75</v>
      </c>
      <c r="C41" s="32" t="n">
        <v>0</v>
      </c>
      <c r="D41" s="32" t="n">
        <v>1</v>
      </c>
      <c r="E41" s="32" t="n">
        <v>1</v>
      </c>
      <c r="F41" s="32" t="n">
        <v>0</v>
      </c>
      <c r="G41" s="32" t="n">
        <v>0</v>
      </c>
      <c r="H41" s="32" t="n">
        <v>0</v>
      </c>
      <c r="I41" s="32" t="n">
        <v>0</v>
      </c>
      <c r="J41" s="32" t="n">
        <v>0</v>
      </c>
      <c r="K41" s="32" t="n">
        <v>0</v>
      </c>
      <c r="L41" s="32" t="n">
        <v>0</v>
      </c>
      <c r="M41" s="32" t="n">
        <v>0</v>
      </c>
      <c r="N41" s="32" t="n">
        <v>0</v>
      </c>
      <c r="O41" s="32" t="n">
        <v>0</v>
      </c>
      <c r="P41" s="32" t="n">
        <v>0</v>
      </c>
      <c r="Q41" s="32" t="n">
        <v>1</v>
      </c>
      <c r="R41" s="32" t="n">
        <v>0</v>
      </c>
      <c r="S41" s="32" t="n">
        <v>0</v>
      </c>
      <c r="T41" s="32" t="n">
        <v>0</v>
      </c>
      <c r="U41" s="32" t="n">
        <v>0</v>
      </c>
      <c r="V41" s="32" t="n">
        <v>0</v>
      </c>
      <c r="W41" s="32" t="n">
        <v>0</v>
      </c>
      <c r="X41" s="32" t="n">
        <v>0</v>
      </c>
      <c r="Y41" s="32" t="n">
        <v>0</v>
      </c>
      <c r="Z41" s="32" t="n">
        <v>0</v>
      </c>
      <c r="AA41" s="32" t="n">
        <v>1</v>
      </c>
      <c r="AB41" s="32" t="n">
        <v>0</v>
      </c>
      <c r="AC41" s="30" t="s">
        <v>142</v>
      </c>
      <c r="AD41" s="37" t="n">
        <f aca="false">B41-B40</f>
        <v>0.125</v>
      </c>
    </row>
    <row r="42" customFormat="false" ht="15" hidden="false" customHeight="false" outlineLevel="0" collapsed="false">
      <c r="A42" s="33" t="n">
        <v>39</v>
      </c>
      <c r="B42" s="34" t="n">
        <f aca="false">Summary!$B$5+IF(D42=1,0,IF(C42=1,Summary!$B$6,NA()))+(MATCH(1,E42:L42,0)-1)*Summary!$B$7+(MATCH(1,M42:T42,0)-1)*Summary!$B$8+(MATCH(1,U42:AB42,0)-1)*Summary!$B$9</f>
        <v>34.875</v>
      </c>
      <c r="C42" s="35" t="n">
        <v>0</v>
      </c>
      <c r="D42" s="35" t="n">
        <v>1</v>
      </c>
      <c r="E42" s="35" t="n">
        <v>1</v>
      </c>
      <c r="F42" s="35" t="n">
        <v>0</v>
      </c>
      <c r="G42" s="35" t="n">
        <v>0</v>
      </c>
      <c r="H42" s="35" t="n">
        <v>0</v>
      </c>
      <c r="I42" s="35" t="n">
        <v>0</v>
      </c>
      <c r="J42" s="35" t="n">
        <v>0</v>
      </c>
      <c r="K42" s="35" t="n">
        <v>0</v>
      </c>
      <c r="L42" s="35" t="n">
        <v>0</v>
      </c>
      <c r="M42" s="35" t="n">
        <v>0</v>
      </c>
      <c r="N42" s="35" t="n">
        <v>0</v>
      </c>
      <c r="O42" s="35" t="n">
        <v>0</v>
      </c>
      <c r="P42" s="35" t="n">
        <v>0</v>
      </c>
      <c r="Q42" s="35" t="n">
        <v>1</v>
      </c>
      <c r="R42" s="35" t="n">
        <v>0</v>
      </c>
      <c r="S42" s="35" t="n">
        <v>0</v>
      </c>
      <c r="T42" s="35" t="n">
        <v>0</v>
      </c>
      <c r="U42" s="35" t="n">
        <v>0</v>
      </c>
      <c r="V42" s="35" t="n">
        <v>0</v>
      </c>
      <c r="W42" s="35" t="n">
        <v>0</v>
      </c>
      <c r="X42" s="35" t="n">
        <v>0</v>
      </c>
      <c r="Y42" s="35" t="n">
        <v>0</v>
      </c>
      <c r="Z42" s="35" t="n">
        <v>0</v>
      </c>
      <c r="AA42" s="35" t="n">
        <v>0</v>
      </c>
      <c r="AB42" s="35" t="n">
        <v>1</v>
      </c>
      <c r="AC42" s="33" t="s">
        <v>143</v>
      </c>
      <c r="AD42" s="36" t="n">
        <f aca="false">B42-B41</f>
        <v>0.125</v>
      </c>
    </row>
    <row r="43" customFormat="false" ht="15" hidden="false" customHeight="false" outlineLevel="0" collapsed="false">
      <c r="A43" s="30" t="n">
        <v>40</v>
      </c>
      <c r="B43" s="31" t="n">
        <f aca="false">Summary!$B$5+IF(D43=1,0,IF(C43=1,Summary!$B$6,NA()))+(MATCH(1,E43:L43,0)-1)*Summary!$B$7+(MATCH(1,M43:T43,0)-1)*Summary!$B$8+(MATCH(1,U43:AB43,0)-1)*Summary!$B$9</f>
        <v>35</v>
      </c>
      <c r="C43" s="32" t="n">
        <v>0</v>
      </c>
      <c r="D43" s="32" t="n">
        <v>1</v>
      </c>
      <c r="E43" s="32" t="n">
        <v>1</v>
      </c>
      <c r="F43" s="32" t="n">
        <v>0</v>
      </c>
      <c r="G43" s="32" t="n">
        <v>0</v>
      </c>
      <c r="H43" s="32" t="n">
        <v>0</v>
      </c>
      <c r="I43" s="32" t="n">
        <v>0</v>
      </c>
      <c r="J43" s="32" t="n">
        <v>0</v>
      </c>
      <c r="K43" s="32" t="n">
        <v>0</v>
      </c>
      <c r="L43" s="32" t="n">
        <v>0</v>
      </c>
      <c r="M43" s="32" t="n">
        <v>0</v>
      </c>
      <c r="N43" s="32" t="n">
        <v>0</v>
      </c>
      <c r="O43" s="32" t="n">
        <v>0</v>
      </c>
      <c r="P43" s="32" t="n">
        <v>0</v>
      </c>
      <c r="Q43" s="32" t="n">
        <v>0</v>
      </c>
      <c r="R43" s="32" t="n">
        <v>1</v>
      </c>
      <c r="S43" s="32" t="n">
        <v>0</v>
      </c>
      <c r="T43" s="32" t="n">
        <v>0</v>
      </c>
      <c r="U43" s="32" t="n">
        <v>1</v>
      </c>
      <c r="V43" s="32" t="n">
        <v>0</v>
      </c>
      <c r="W43" s="32" t="n">
        <v>0</v>
      </c>
      <c r="X43" s="32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0" t="s">
        <v>144</v>
      </c>
      <c r="AD43" s="37" t="n">
        <f aca="false">B43-B42</f>
        <v>0.125</v>
      </c>
    </row>
    <row r="44" customFormat="false" ht="15" hidden="false" customHeight="false" outlineLevel="0" collapsed="false">
      <c r="A44" s="33" t="n">
        <v>41</v>
      </c>
      <c r="B44" s="34" t="n">
        <f aca="false">Summary!$B$5+IF(D44=1,0,IF(C44=1,Summary!$B$6,NA()))+(MATCH(1,E44:L44,0)-1)*Summary!$B$7+(MATCH(1,M44:T44,0)-1)*Summary!$B$8+(MATCH(1,U44:AB44,0)-1)*Summary!$B$9</f>
        <v>35.125</v>
      </c>
      <c r="C44" s="35" t="n">
        <v>0</v>
      </c>
      <c r="D44" s="35" t="n">
        <v>1</v>
      </c>
      <c r="E44" s="35" t="n">
        <v>1</v>
      </c>
      <c r="F44" s="35" t="n">
        <v>0</v>
      </c>
      <c r="G44" s="35" t="n">
        <v>0</v>
      </c>
      <c r="H44" s="35" t="n">
        <v>0</v>
      </c>
      <c r="I44" s="35" t="n">
        <v>0</v>
      </c>
      <c r="J44" s="35" t="n">
        <v>0</v>
      </c>
      <c r="K44" s="35" t="n">
        <v>0</v>
      </c>
      <c r="L44" s="35" t="n">
        <v>0</v>
      </c>
      <c r="M44" s="35" t="n">
        <v>0</v>
      </c>
      <c r="N44" s="35" t="n">
        <v>0</v>
      </c>
      <c r="O44" s="35" t="n">
        <v>0</v>
      </c>
      <c r="P44" s="35" t="n">
        <v>0</v>
      </c>
      <c r="Q44" s="35" t="n">
        <v>0</v>
      </c>
      <c r="R44" s="35" t="n">
        <v>1</v>
      </c>
      <c r="S44" s="35" t="n">
        <v>0</v>
      </c>
      <c r="T44" s="35" t="n">
        <v>0</v>
      </c>
      <c r="U44" s="35" t="n">
        <v>0</v>
      </c>
      <c r="V44" s="35" t="n">
        <v>1</v>
      </c>
      <c r="W44" s="35" t="n">
        <v>0</v>
      </c>
      <c r="X44" s="35" t="n">
        <v>0</v>
      </c>
      <c r="Y44" s="35" t="n">
        <v>0</v>
      </c>
      <c r="Z44" s="35" t="n">
        <v>0</v>
      </c>
      <c r="AA44" s="35" t="n">
        <v>0</v>
      </c>
      <c r="AB44" s="35" t="n">
        <v>0</v>
      </c>
      <c r="AC44" s="33" t="s">
        <v>145</v>
      </c>
      <c r="AD44" s="36" t="n">
        <f aca="false">B44-B43</f>
        <v>0.125</v>
      </c>
    </row>
    <row r="45" customFormat="false" ht="15" hidden="false" customHeight="false" outlineLevel="0" collapsed="false">
      <c r="A45" s="30" t="n">
        <v>42</v>
      </c>
      <c r="B45" s="31" t="n">
        <f aca="false">Summary!$B$5+IF(D45=1,0,IF(C45=1,Summary!$B$6,NA()))+(MATCH(1,E45:L45,0)-1)*Summary!$B$7+(MATCH(1,M45:T45,0)-1)*Summary!$B$8+(MATCH(1,U45:AB45,0)-1)*Summary!$B$9</f>
        <v>35.25</v>
      </c>
      <c r="C45" s="32" t="n">
        <v>0</v>
      </c>
      <c r="D45" s="32" t="n">
        <v>1</v>
      </c>
      <c r="E45" s="32" t="n">
        <v>1</v>
      </c>
      <c r="F45" s="32" t="n">
        <v>0</v>
      </c>
      <c r="G45" s="32" t="n">
        <v>0</v>
      </c>
      <c r="H45" s="32" t="n">
        <v>0</v>
      </c>
      <c r="I45" s="32" t="n">
        <v>0</v>
      </c>
      <c r="J45" s="32" t="n">
        <v>0</v>
      </c>
      <c r="K45" s="32" t="n">
        <v>0</v>
      </c>
      <c r="L45" s="32" t="n">
        <v>0</v>
      </c>
      <c r="M45" s="32" t="n">
        <v>0</v>
      </c>
      <c r="N45" s="32" t="n">
        <v>0</v>
      </c>
      <c r="O45" s="32" t="n">
        <v>0</v>
      </c>
      <c r="P45" s="32" t="n">
        <v>0</v>
      </c>
      <c r="Q45" s="32" t="n">
        <v>0</v>
      </c>
      <c r="R45" s="32" t="n">
        <v>1</v>
      </c>
      <c r="S45" s="32" t="n">
        <v>0</v>
      </c>
      <c r="T45" s="32" t="n">
        <v>0</v>
      </c>
      <c r="U45" s="32" t="n">
        <v>0</v>
      </c>
      <c r="V45" s="32" t="n">
        <v>0</v>
      </c>
      <c r="W45" s="32" t="n">
        <v>1</v>
      </c>
      <c r="X45" s="32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0" t="s">
        <v>146</v>
      </c>
      <c r="AD45" s="37" t="n">
        <f aca="false">B45-B44</f>
        <v>0.125</v>
      </c>
    </row>
    <row r="46" customFormat="false" ht="15" hidden="false" customHeight="false" outlineLevel="0" collapsed="false">
      <c r="A46" s="33" t="n">
        <v>43</v>
      </c>
      <c r="B46" s="34" t="n">
        <f aca="false">Summary!$B$5+IF(D46=1,0,IF(C46=1,Summary!$B$6,NA()))+(MATCH(1,E46:L46,0)-1)*Summary!$B$7+(MATCH(1,M46:T46,0)-1)*Summary!$B$8+(MATCH(1,U46:AB46,0)-1)*Summary!$B$9</f>
        <v>35.375</v>
      </c>
      <c r="C46" s="35" t="n">
        <v>0</v>
      </c>
      <c r="D46" s="35" t="n">
        <v>1</v>
      </c>
      <c r="E46" s="35" t="n">
        <v>1</v>
      </c>
      <c r="F46" s="35" t="n">
        <v>0</v>
      </c>
      <c r="G46" s="35" t="n">
        <v>0</v>
      </c>
      <c r="H46" s="35" t="n">
        <v>0</v>
      </c>
      <c r="I46" s="35" t="n">
        <v>0</v>
      </c>
      <c r="J46" s="35" t="n">
        <v>0</v>
      </c>
      <c r="K46" s="35" t="n">
        <v>0</v>
      </c>
      <c r="L46" s="35" t="n">
        <v>0</v>
      </c>
      <c r="M46" s="35" t="n">
        <v>0</v>
      </c>
      <c r="N46" s="35" t="n">
        <v>0</v>
      </c>
      <c r="O46" s="35" t="n">
        <v>0</v>
      </c>
      <c r="P46" s="35" t="n">
        <v>0</v>
      </c>
      <c r="Q46" s="35" t="n">
        <v>0</v>
      </c>
      <c r="R46" s="35" t="n">
        <v>1</v>
      </c>
      <c r="S46" s="35" t="n">
        <v>0</v>
      </c>
      <c r="T46" s="35" t="n">
        <v>0</v>
      </c>
      <c r="U46" s="35" t="n">
        <v>0</v>
      </c>
      <c r="V46" s="35" t="n">
        <v>0</v>
      </c>
      <c r="W46" s="35" t="n">
        <v>0</v>
      </c>
      <c r="X46" s="35" t="n">
        <v>1</v>
      </c>
      <c r="Y46" s="35" t="n">
        <v>0</v>
      </c>
      <c r="Z46" s="35" t="n">
        <v>0</v>
      </c>
      <c r="AA46" s="35" t="n">
        <v>0</v>
      </c>
      <c r="AB46" s="35" t="n">
        <v>0</v>
      </c>
      <c r="AC46" s="33" t="s">
        <v>147</v>
      </c>
      <c r="AD46" s="36" t="n">
        <f aca="false">B46-B45</f>
        <v>0.125</v>
      </c>
    </row>
    <row r="47" customFormat="false" ht="15" hidden="false" customHeight="false" outlineLevel="0" collapsed="false">
      <c r="A47" s="30" t="n">
        <v>44</v>
      </c>
      <c r="B47" s="31" t="n">
        <f aca="false">Summary!$B$5+IF(D47=1,0,IF(C47=1,Summary!$B$6,NA()))+(MATCH(1,E47:L47,0)-1)*Summary!$B$7+(MATCH(1,M47:T47,0)-1)*Summary!$B$8+(MATCH(1,U47:AB47,0)-1)*Summary!$B$9</f>
        <v>35.5</v>
      </c>
      <c r="C47" s="32" t="n">
        <v>0</v>
      </c>
      <c r="D47" s="32" t="n">
        <v>1</v>
      </c>
      <c r="E47" s="32" t="n">
        <v>1</v>
      </c>
      <c r="F47" s="32" t="n">
        <v>0</v>
      </c>
      <c r="G47" s="32" t="n">
        <v>0</v>
      </c>
      <c r="H47" s="32" t="n">
        <v>0</v>
      </c>
      <c r="I47" s="32" t="n">
        <v>0</v>
      </c>
      <c r="J47" s="32" t="n">
        <v>0</v>
      </c>
      <c r="K47" s="32" t="n">
        <v>0</v>
      </c>
      <c r="L47" s="32" t="n">
        <v>0</v>
      </c>
      <c r="M47" s="32" t="n">
        <v>0</v>
      </c>
      <c r="N47" s="32" t="n">
        <v>0</v>
      </c>
      <c r="O47" s="32" t="n">
        <v>0</v>
      </c>
      <c r="P47" s="32" t="n">
        <v>0</v>
      </c>
      <c r="Q47" s="32" t="n">
        <v>0</v>
      </c>
      <c r="R47" s="32" t="n">
        <v>1</v>
      </c>
      <c r="S47" s="32" t="n">
        <v>0</v>
      </c>
      <c r="T47" s="32" t="n">
        <v>0</v>
      </c>
      <c r="U47" s="32" t="n">
        <v>0</v>
      </c>
      <c r="V47" s="32" t="n">
        <v>0</v>
      </c>
      <c r="W47" s="32" t="n">
        <v>0</v>
      </c>
      <c r="X47" s="32" t="n">
        <v>0</v>
      </c>
      <c r="Y47" s="32" t="n">
        <v>1</v>
      </c>
      <c r="Z47" s="32" t="n">
        <v>0</v>
      </c>
      <c r="AA47" s="32" t="n">
        <v>0</v>
      </c>
      <c r="AB47" s="32" t="n">
        <v>0</v>
      </c>
      <c r="AC47" s="30" t="s">
        <v>148</v>
      </c>
      <c r="AD47" s="37" t="n">
        <f aca="false">B47-B46</f>
        <v>0.125</v>
      </c>
    </row>
    <row r="48" customFormat="false" ht="15" hidden="false" customHeight="false" outlineLevel="0" collapsed="false">
      <c r="A48" s="33" t="n">
        <v>45</v>
      </c>
      <c r="B48" s="34" t="n">
        <f aca="false">Summary!$B$5+IF(D48=1,0,IF(C48=1,Summary!$B$6,NA()))+(MATCH(1,E48:L48,0)-1)*Summary!$B$7+(MATCH(1,M48:T48,0)-1)*Summary!$B$8+(MATCH(1,U48:AB48,0)-1)*Summary!$B$9</f>
        <v>35.625</v>
      </c>
      <c r="C48" s="35" t="n">
        <v>0</v>
      </c>
      <c r="D48" s="35" t="n">
        <v>1</v>
      </c>
      <c r="E48" s="35" t="n">
        <v>1</v>
      </c>
      <c r="F48" s="35" t="n">
        <v>0</v>
      </c>
      <c r="G48" s="35" t="n">
        <v>0</v>
      </c>
      <c r="H48" s="35" t="n">
        <v>0</v>
      </c>
      <c r="I48" s="35" t="n">
        <v>0</v>
      </c>
      <c r="J48" s="35" t="n">
        <v>0</v>
      </c>
      <c r="K48" s="35" t="n">
        <v>0</v>
      </c>
      <c r="L48" s="35" t="n">
        <v>0</v>
      </c>
      <c r="M48" s="35" t="n">
        <v>0</v>
      </c>
      <c r="N48" s="35" t="n">
        <v>0</v>
      </c>
      <c r="O48" s="35" t="n">
        <v>0</v>
      </c>
      <c r="P48" s="35" t="n">
        <v>0</v>
      </c>
      <c r="Q48" s="35" t="n">
        <v>0</v>
      </c>
      <c r="R48" s="35" t="n">
        <v>1</v>
      </c>
      <c r="S48" s="35" t="n">
        <v>0</v>
      </c>
      <c r="T48" s="35" t="n">
        <v>0</v>
      </c>
      <c r="U48" s="35" t="n">
        <v>0</v>
      </c>
      <c r="V48" s="35" t="n">
        <v>0</v>
      </c>
      <c r="W48" s="35" t="n">
        <v>0</v>
      </c>
      <c r="X48" s="35" t="n">
        <v>0</v>
      </c>
      <c r="Y48" s="35" t="n">
        <v>0</v>
      </c>
      <c r="Z48" s="35" t="n">
        <v>1</v>
      </c>
      <c r="AA48" s="35" t="n">
        <v>0</v>
      </c>
      <c r="AB48" s="35" t="n">
        <v>0</v>
      </c>
      <c r="AC48" s="33" t="s">
        <v>149</v>
      </c>
      <c r="AD48" s="36" t="n">
        <f aca="false">B48-B47</f>
        <v>0.125</v>
      </c>
    </row>
    <row r="49" customFormat="false" ht="15" hidden="false" customHeight="false" outlineLevel="0" collapsed="false">
      <c r="A49" s="30" t="n">
        <v>46</v>
      </c>
      <c r="B49" s="31" t="n">
        <f aca="false">Summary!$B$5+IF(D49=1,0,IF(C49=1,Summary!$B$6,NA()))+(MATCH(1,E49:L49,0)-1)*Summary!$B$7+(MATCH(1,M49:T49,0)-1)*Summary!$B$8+(MATCH(1,U49:AB49,0)-1)*Summary!$B$9</f>
        <v>35.75</v>
      </c>
      <c r="C49" s="32" t="n">
        <v>0</v>
      </c>
      <c r="D49" s="32" t="n">
        <v>1</v>
      </c>
      <c r="E49" s="32" t="n">
        <v>1</v>
      </c>
      <c r="F49" s="32" t="n">
        <v>0</v>
      </c>
      <c r="G49" s="32" t="n">
        <v>0</v>
      </c>
      <c r="H49" s="32" t="n">
        <v>0</v>
      </c>
      <c r="I49" s="32" t="n">
        <v>0</v>
      </c>
      <c r="J49" s="32" t="n">
        <v>0</v>
      </c>
      <c r="K49" s="32" t="n">
        <v>0</v>
      </c>
      <c r="L49" s="32" t="n">
        <v>0</v>
      </c>
      <c r="M49" s="32" t="n">
        <v>0</v>
      </c>
      <c r="N49" s="32" t="n">
        <v>0</v>
      </c>
      <c r="O49" s="32" t="n">
        <v>0</v>
      </c>
      <c r="P49" s="32" t="n">
        <v>0</v>
      </c>
      <c r="Q49" s="32" t="n">
        <v>0</v>
      </c>
      <c r="R49" s="32" t="n">
        <v>1</v>
      </c>
      <c r="S49" s="32" t="n">
        <v>0</v>
      </c>
      <c r="T49" s="32" t="n">
        <v>0</v>
      </c>
      <c r="U49" s="32" t="n">
        <v>0</v>
      </c>
      <c r="V49" s="32" t="n">
        <v>0</v>
      </c>
      <c r="W49" s="32" t="n">
        <v>0</v>
      </c>
      <c r="X49" s="32" t="n">
        <v>0</v>
      </c>
      <c r="Y49" s="32" t="n">
        <v>0</v>
      </c>
      <c r="Z49" s="32" t="n">
        <v>0</v>
      </c>
      <c r="AA49" s="32" t="n">
        <v>1</v>
      </c>
      <c r="AB49" s="32" t="n">
        <v>0</v>
      </c>
      <c r="AC49" s="30" t="s">
        <v>150</v>
      </c>
      <c r="AD49" s="37" t="n">
        <f aca="false">B49-B48</f>
        <v>0.125</v>
      </c>
    </row>
    <row r="50" customFormat="false" ht="15" hidden="false" customHeight="false" outlineLevel="0" collapsed="false">
      <c r="A50" s="33" t="n">
        <v>47</v>
      </c>
      <c r="B50" s="34" t="n">
        <f aca="false">Summary!$B$5+IF(D50=1,0,IF(C50=1,Summary!$B$6,NA()))+(MATCH(1,E50:L50,0)-1)*Summary!$B$7+(MATCH(1,M50:T50,0)-1)*Summary!$B$8+(MATCH(1,U50:AB50,0)-1)*Summary!$B$9</f>
        <v>35.875</v>
      </c>
      <c r="C50" s="35" t="n">
        <v>0</v>
      </c>
      <c r="D50" s="35" t="n">
        <v>1</v>
      </c>
      <c r="E50" s="35" t="n">
        <v>1</v>
      </c>
      <c r="F50" s="35" t="n">
        <v>0</v>
      </c>
      <c r="G50" s="35" t="n">
        <v>0</v>
      </c>
      <c r="H50" s="35" t="n">
        <v>0</v>
      </c>
      <c r="I50" s="35" t="n">
        <v>0</v>
      </c>
      <c r="J50" s="35" t="n">
        <v>0</v>
      </c>
      <c r="K50" s="35" t="n">
        <v>0</v>
      </c>
      <c r="L50" s="35" t="n">
        <v>0</v>
      </c>
      <c r="M50" s="35" t="n">
        <v>0</v>
      </c>
      <c r="N50" s="35" t="n">
        <v>0</v>
      </c>
      <c r="O50" s="35" t="n">
        <v>0</v>
      </c>
      <c r="P50" s="35" t="n">
        <v>0</v>
      </c>
      <c r="Q50" s="35" t="n">
        <v>0</v>
      </c>
      <c r="R50" s="35" t="n">
        <v>1</v>
      </c>
      <c r="S50" s="35" t="n">
        <v>0</v>
      </c>
      <c r="T50" s="35" t="n">
        <v>0</v>
      </c>
      <c r="U50" s="35" t="n">
        <v>0</v>
      </c>
      <c r="V50" s="35" t="n">
        <v>0</v>
      </c>
      <c r="W50" s="35" t="n">
        <v>0</v>
      </c>
      <c r="X50" s="35" t="n">
        <v>0</v>
      </c>
      <c r="Y50" s="35" t="n">
        <v>0</v>
      </c>
      <c r="Z50" s="35" t="n">
        <v>0</v>
      </c>
      <c r="AA50" s="35" t="n">
        <v>0</v>
      </c>
      <c r="AB50" s="35" t="n">
        <v>1</v>
      </c>
      <c r="AC50" s="33" t="s">
        <v>151</v>
      </c>
      <c r="AD50" s="36" t="n">
        <f aca="false">B50-B49</f>
        <v>0.125</v>
      </c>
    </row>
    <row r="51" customFormat="false" ht="15" hidden="false" customHeight="false" outlineLevel="0" collapsed="false">
      <c r="A51" s="30" t="n">
        <v>48</v>
      </c>
      <c r="B51" s="31" t="n">
        <f aca="false">Summary!$B$5+IF(D51=1,0,IF(C51=1,Summary!$B$6,NA()))+(MATCH(1,E51:L51,0)-1)*Summary!$B$7+(MATCH(1,M51:T51,0)-1)*Summary!$B$8+(MATCH(1,U51:AB51,0)-1)*Summary!$B$9</f>
        <v>36</v>
      </c>
      <c r="C51" s="32" t="n">
        <v>0</v>
      </c>
      <c r="D51" s="32" t="n">
        <v>1</v>
      </c>
      <c r="E51" s="32" t="n">
        <v>1</v>
      </c>
      <c r="F51" s="32" t="n">
        <v>0</v>
      </c>
      <c r="G51" s="32" t="n">
        <v>0</v>
      </c>
      <c r="H51" s="32" t="n">
        <v>0</v>
      </c>
      <c r="I51" s="32" t="n">
        <v>0</v>
      </c>
      <c r="J51" s="32" t="n">
        <v>0</v>
      </c>
      <c r="K51" s="32" t="n">
        <v>0</v>
      </c>
      <c r="L51" s="32" t="n">
        <v>0</v>
      </c>
      <c r="M51" s="32" t="n">
        <v>0</v>
      </c>
      <c r="N51" s="32" t="n">
        <v>0</v>
      </c>
      <c r="O51" s="32" t="n">
        <v>0</v>
      </c>
      <c r="P51" s="32" t="n">
        <v>0</v>
      </c>
      <c r="Q51" s="32" t="n">
        <v>0</v>
      </c>
      <c r="R51" s="32" t="n">
        <v>0</v>
      </c>
      <c r="S51" s="32" t="n">
        <v>1</v>
      </c>
      <c r="T51" s="32" t="n">
        <v>0</v>
      </c>
      <c r="U51" s="32" t="n">
        <v>1</v>
      </c>
      <c r="V51" s="32" t="n">
        <v>0</v>
      </c>
      <c r="W51" s="32" t="n">
        <v>0</v>
      </c>
      <c r="X51" s="32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0" t="s">
        <v>152</v>
      </c>
      <c r="AD51" s="37" t="n">
        <f aca="false">B51-B50</f>
        <v>0.125</v>
      </c>
    </row>
    <row r="52" customFormat="false" ht="15" hidden="false" customHeight="false" outlineLevel="0" collapsed="false">
      <c r="A52" s="33" t="n">
        <v>49</v>
      </c>
      <c r="B52" s="34" t="n">
        <f aca="false">Summary!$B$5+IF(D52=1,0,IF(C52=1,Summary!$B$6,NA()))+(MATCH(1,E52:L52,0)-1)*Summary!$B$7+(MATCH(1,M52:T52,0)-1)*Summary!$B$8+(MATCH(1,U52:AB52,0)-1)*Summary!$B$9</f>
        <v>36.125</v>
      </c>
      <c r="C52" s="35" t="n">
        <v>0</v>
      </c>
      <c r="D52" s="35" t="n">
        <v>1</v>
      </c>
      <c r="E52" s="35" t="n">
        <v>1</v>
      </c>
      <c r="F52" s="35" t="n">
        <v>0</v>
      </c>
      <c r="G52" s="35" t="n">
        <v>0</v>
      </c>
      <c r="H52" s="35" t="n">
        <v>0</v>
      </c>
      <c r="I52" s="35" t="n">
        <v>0</v>
      </c>
      <c r="J52" s="35" t="n">
        <v>0</v>
      </c>
      <c r="K52" s="35" t="n">
        <v>0</v>
      </c>
      <c r="L52" s="35" t="n">
        <v>0</v>
      </c>
      <c r="M52" s="35" t="n">
        <v>0</v>
      </c>
      <c r="N52" s="35" t="n">
        <v>0</v>
      </c>
      <c r="O52" s="35" t="n">
        <v>0</v>
      </c>
      <c r="P52" s="35" t="n">
        <v>0</v>
      </c>
      <c r="Q52" s="35" t="n">
        <v>0</v>
      </c>
      <c r="R52" s="35" t="n">
        <v>0</v>
      </c>
      <c r="S52" s="35" t="n">
        <v>1</v>
      </c>
      <c r="T52" s="35" t="n">
        <v>0</v>
      </c>
      <c r="U52" s="35" t="n">
        <v>0</v>
      </c>
      <c r="V52" s="35" t="n">
        <v>1</v>
      </c>
      <c r="W52" s="35" t="n">
        <v>0</v>
      </c>
      <c r="X52" s="35" t="n">
        <v>0</v>
      </c>
      <c r="Y52" s="35" t="n">
        <v>0</v>
      </c>
      <c r="Z52" s="35" t="n">
        <v>0</v>
      </c>
      <c r="AA52" s="35" t="n">
        <v>0</v>
      </c>
      <c r="AB52" s="35" t="n">
        <v>0</v>
      </c>
      <c r="AC52" s="33" t="s">
        <v>153</v>
      </c>
      <c r="AD52" s="36" t="n">
        <f aca="false">B52-B51</f>
        <v>0.125</v>
      </c>
    </row>
    <row r="53" customFormat="false" ht="15" hidden="false" customHeight="false" outlineLevel="0" collapsed="false">
      <c r="A53" s="30" t="n">
        <v>50</v>
      </c>
      <c r="B53" s="31" t="n">
        <f aca="false">Summary!$B$5+IF(D53=1,0,IF(C53=1,Summary!$B$6,NA()))+(MATCH(1,E53:L53,0)-1)*Summary!$B$7+(MATCH(1,M53:T53,0)-1)*Summary!$B$8+(MATCH(1,U53:AB53,0)-1)*Summary!$B$9</f>
        <v>36.25</v>
      </c>
      <c r="C53" s="32" t="n">
        <v>0</v>
      </c>
      <c r="D53" s="32" t="n">
        <v>1</v>
      </c>
      <c r="E53" s="32" t="n">
        <v>1</v>
      </c>
      <c r="F53" s="32" t="n">
        <v>0</v>
      </c>
      <c r="G53" s="32" t="n">
        <v>0</v>
      </c>
      <c r="H53" s="32" t="n">
        <v>0</v>
      </c>
      <c r="I53" s="32" t="n">
        <v>0</v>
      </c>
      <c r="J53" s="32" t="n">
        <v>0</v>
      </c>
      <c r="K53" s="32" t="n">
        <v>0</v>
      </c>
      <c r="L53" s="32" t="n">
        <v>0</v>
      </c>
      <c r="M53" s="32" t="n">
        <v>0</v>
      </c>
      <c r="N53" s="32" t="n">
        <v>0</v>
      </c>
      <c r="O53" s="32" t="n">
        <v>0</v>
      </c>
      <c r="P53" s="32" t="n">
        <v>0</v>
      </c>
      <c r="Q53" s="32" t="n">
        <v>0</v>
      </c>
      <c r="R53" s="32" t="n">
        <v>0</v>
      </c>
      <c r="S53" s="32" t="n">
        <v>1</v>
      </c>
      <c r="T53" s="32" t="n">
        <v>0</v>
      </c>
      <c r="U53" s="32" t="n">
        <v>0</v>
      </c>
      <c r="V53" s="32" t="n">
        <v>0</v>
      </c>
      <c r="W53" s="32" t="n">
        <v>1</v>
      </c>
      <c r="X53" s="32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0" t="s">
        <v>154</v>
      </c>
      <c r="AD53" s="37" t="n">
        <f aca="false">B53-B52</f>
        <v>0.125</v>
      </c>
    </row>
    <row r="54" customFormat="false" ht="15" hidden="false" customHeight="false" outlineLevel="0" collapsed="false">
      <c r="A54" s="33" t="n">
        <v>51</v>
      </c>
      <c r="B54" s="34" t="n">
        <f aca="false">Summary!$B$5+IF(D54=1,0,IF(C54=1,Summary!$B$6,NA()))+(MATCH(1,E54:L54,0)-1)*Summary!$B$7+(MATCH(1,M54:T54,0)-1)*Summary!$B$8+(MATCH(1,U54:AB54,0)-1)*Summary!$B$9</f>
        <v>36.375</v>
      </c>
      <c r="C54" s="35" t="n">
        <v>0</v>
      </c>
      <c r="D54" s="35" t="n">
        <v>1</v>
      </c>
      <c r="E54" s="35" t="n">
        <v>1</v>
      </c>
      <c r="F54" s="35" t="n">
        <v>0</v>
      </c>
      <c r="G54" s="35" t="n">
        <v>0</v>
      </c>
      <c r="H54" s="35" t="n">
        <v>0</v>
      </c>
      <c r="I54" s="35" t="n">
        <v>0</v>
      </c>
      <c r="J54" s="35" t="n">
        <v>0</v>
      </c>
      <c r="K54" s="35" t="n">
        <v>0</v>
      </c>
      <c r="L54" s="35" t="n">
        <v>0</v>
      </c>
      <c r="M54" s="35" t="n">
        <v>0</v>
      </c>
      <c r="N54" s="35" t="n">
        <v>0</v>
      </c>
      <c r="O54" s="35" t="n">
        <v>0</v>
      </c>
      <c r="P54" s="35" t="n">
        <v>0</v>
      </c>
      <c r="Q54" s="35" t="n">
        <v>0</v>
      </c>
      <c r="R54" s="35" t="n">
        <v>0</v>
      </c>
      <c r="S54" s="35" t="n">
        <v>1</v>
      </c>
      <c r="T54" s="35" t="n">
        <v>0</v>
      </c>
      <c r="U54" s="35" t="n">
        <v>0</v>
      </c>
      <c r="V54" s="35" t="n">
        <v>0</v>
      </c>
      <c r="W54" s="35" t="n">
        <v>0</v>
      </c>
      <c r="X54" s="35" t="n">
        <v>1</v>
      </c>
      <c r="Y54" s="35" t="n">
        <v>0</v>
      </c>
      <c r="Z54" s="35" t="n">
        <v>0</v>
      </c>
      <c r="AA54" s="35" t="n">
        <v>0</v>
      </c>
      <c r="AB54" s="35" t="n">
        <v>0</v>
      </c>
      <c r="AC54" s="33" t="s">
        <v>155</v>
      </c>
      <c r="AD54" s="36" t="n">
        <f aca="false">B54-B53</f>
        <v>0.125</v>
      </c>
    </row>
    <row r="55" customFormat="false" ht="15" hidden="false" customHeight="false" outlineLevel="0" collapsed="false">
      <c r="A55" s="30" t="n">
        <v>52</v>
      </c>
      <c r="B55" s="31" t="n">
        <f aca="false">Summary!$B$5+IF(D55=1,0,IF(C55=1,Summary!$B$6,NA()))+(MATCH(1,E55:L55,0)-1)*Summary!$B$7+(MATCH(1,M55:T55,0)-1)*Summary!$B$8+(MATCH(1,U55:AB55,0)-1)*Summary!$B$9</f>
        <v>36.5</v>
      </c>
      <c r="C55" s="32" t="n">
        <v>0</v>
      </c>
      <c r="D55" s="32" t="n">
        <v>1</v>
      </c>
      <c r="E55" s="32" t="n">
        <v>1</v>
      </c>
      <c r="F55" s="32" t="n">
        <v>0</v>
      </c>
      <c r="G55" s="32" t="n">
        <v>0</v>
      </c>
      <c r="H55" s="32" t="n">
        <v>0</v>
      </c>
      <c r="I55" s="32" t="n">
        <v>0</v>
      </c>
      <c r="J55" s="32" t="n">
        <v>0</v>
      </c>
      <c r="K55" s="32" t="n">
        <v>0</v>
      </c>
      <c r="L55" s="32" t="n">
        <v>0</v>
      </c>
      <c r="M55" s="32" t="n">
        <v>0</v>
      </c>
      <c r="N55" s="32" t="n">
        <v>0</v>
      </c>
      <c r="O55" s="32" t="n">
        <v>0</v>
      </c>
      <c r="P55" s="32" t="n">
        <v>0</v>
      </c>
      <c r="Q55" s="32" t="n">
        <v>0</v>
      </c>
      <c r="R55" s="32" t="n">
        <v>0</v>
      </c>
      <c r="S55" s="32" t="n">
        <v>1</v>
      </c>
      <c r="T55" s="32" t="n">
        <v>0</v>
      </c>
      <c r="U55" s="32" t="n">
        <v>0</v>
      </c>
      <c r="V55" s="32" t="n">
        <v>0</v>
      </c>
      <c r="W55" s="32" t="n">
        <v>0</v>
      </c>
      <c r="X55" s="32" t="n">
        <v>0</v>
      </c>
      <c r="Y55" s="32" t="n">
        <v>1</v>
      </c>
      <c r="Z55" s="32" t="n">
        <v>0</v>
      </c>
      <c r="AA55" s="32" t="n">
        <v>0</v>
      </c>
      <c r="AB55" s="32" t="n">
        <v>0</v>
      </c>
      <c r="AC55" s="30" t="s">
        <v>156</v>
      </c>
      <c r="AD55" s="37" t="n">
        <f aca="false">B55-B54</f>
        <v>0.125</v>
      </c>
    </row>
    <row r="56" customFormat="false" ht="15" hidden="false" customHeight="false" outlineLevel="0" collapsed="false">
      <c r="A56" s="33" t="n">
        <v>53</v>
      </c>
      <c r="B56" s="34" t="n">
        <f aca="false">Summary!$B$5+IF(D56=1,0,IF(C56=1,Summary!$B$6,NA()))+(MATCH(1,E56:L56,0)-1)*Summary!$B$7+(MATCH(1,M56:T56,0)-1)*Summary!$B$8+(MATCH(1,U56:AB56,0)-1)*Summary!$B$9</f>
        <v>36.625</v>
      </c>
      <c r="C56" s="35" t="n">
        <v>0</v>
      </c>
      <c r="D56" s="35" t="n">
        <v>1</v>
      </c>
      <c r="E56" s="35" t="n">
        <v>1</v>
      </c>
      <c r="F56" s="35" t="n">
        <v>0</v>
      </c>
      <c r="G56" s="35" t="n">
        <v>0</v>
      </c>
      <c r="H56" s="35" t="n">
        <v>0</v>
      </c>
      <c r="I56" s="35" t="n">
        <v>0</v>
      </c>
      <c r="J56" s="35" t="n">
        <v>0</v>
      </c>
      <c r="K56" s="35" t="n">
        <v>0</v>
      </c>
      <c r="L56" s="35" t="n">
        <v>0</v>
      </c>
      <c r="M56" s="35" t="n">
        <v>0</v>
      </c>
      <c r="N56" s="35" t="n">
        <v>0</v>
      </c>
      <c r="O56" s="35" t="n">
        <v>0</v>
      </c>
      <c r="P56" s="35" t="n">
        <v>0</v>
      </c>
      <c r="Q56" s="35" t="n">
        <v>0</v>
      </c>
      <c r="R56" s="35" t="n">
        <v>0</v>
      </c>
      <c r="S56" s="35" t="n">
        <v>1</v>
      </c>
      <c r="T56" s="35" t="n">
        <v>0</v>
      </c>
      <c r="U56" s="35" t="n">
        <v>0</v>
      </c>
      <c r="V56" s="35" t="n">
        <v>0</v>
      </c>
      <c r="W56" s="35" t="n">
        <v>0</v>
      </c>
      <c r="X56" s="35" t="n">
        <v>0</v>
      </c>
      <c r="Y56" s="35" t="n">
        <v>0</v>
      </c>
      <c r="Z56" s="35" t="n">
        <v>1</v>
      </c>
      <c r="AA56" s="35" t="n">
        <v>0</v>
      </c>
      <c r="AB56" s="35" t="n">
        <v>0</v>
      </c>
      <c r="AC56" s="33" t="s">
        <v>157</v>
      </c>
      <c r="AD56" s="36" t="n">
        <f aca="false">B56-B55</f>
        <v>0.125</v>
      </c>
    </row>
    <row r="57" customFormat="false" ht="15" hidden="false" customHeight="false" outlineLevel="0" collapsed="false">
      <c r="A57" s="30" t="n">
        <v>54</v>
      </c>
      <c r="B57" s="31" t="n">
        <f aca="false">Summary!$B$5+IF(D57=1,0,IF(C57=1,Summary!$B$6,NA()))+(MATCH(1,E57:L57,0)-1)*Summary!$B$7+(MATCH(1,M57:T57,0)-1)*Summary!$B$8+(MATCH(1,U57:AB57,0)-1)*Summary!$B$9</f>
        <v>36.75</v>
      </c>
      <c r="C57" s="32" t="n">
        <v>0</v>
      </c>
      <c r="D57" s="32" t="n">
        <v>1</v>
      </c>
      <c r="E57" s="32" t="n">
        <v>1</v>
      </c>
      <c r="F57" s="32" t="n">
        <v>0</v>
      </c>
      <c r="G57" s="32" t="n">
        <v>0</v>
      </c>
      <c r="H57" s="32" t="n">
        <v>0</v>
      </c>
      <c r="I57" s="32" t="n">
        <v>0</v>
      </c>
      <c r="J57" s="32" t="n">
        <v>0</v>
      </c>
      <c r="K57" s="32" t="n">
        <v>0</v>
      </c>
      <c r="L57" s="32" t="n">
        <v>0</v>
      </c>
      <c r="M57" s="32" t="n">
        <v>0</v>
      </c>
      <c r="N57" s="32" t="n">
        <v>0</v>
      </c>
      <c r="O57" s="32" t="n">
        <v>0</v>
      </c>
      <c r="P57" s="32" t="n">
        <v>0</v>
      </c>
      <c r="Q57" s="32" t="n">
        <v>0</v>
      </c>
      <c r="R57" s="32" t="n">
        <v>0</v>
      </c>
      <c r="S57" s="32" t="n">
        <v>1</v>
      </c>
      <c r="T57" s="32" t="n">
        <v>0</v>
      </c>
      <c r="U57" s="32" t="n">
        <v>0</v>
      </c>
      <c r="V57" s="32" t="n">
        <v>0</v>
      </c>
      <c r="W57" s="32" t="n">
        <v>0</v>
      </c>
      <c r="X57" s="32" t="n">
        <v>0</v>
      </c>
      <c r="Y57" s="32" t="n">
        <v>0</v>
      </c>
      <c r="Z57" s="32" t="n">
        <v>0</v>
      </c>
      <c r="AA57" s="32" t="n">
        <v>1</v>
      </c>
      <c r="AB57" s="32" t="n">
        <v>0</v>
      </c>
      <c r="AC57" s="30" t="s">
        <v>158</v>
      </c>
      <c r="AD57" s="37" t="n">
        <f aca="false">B57-B56</f>
        <v>0.125</v>
      </c>
    </row>
    <row r="58" customFormat="false" ht="15" hidden="false" customHeight="false" outlineLevel="0" collapsed="false">
      <c r="A58" s="33" t="n">
        <v>55</v>
      </c>
      <c r="B58" s="34" t="n">
        <f aca="false">Summary!$B$5+IF(D58=1,0,IF(C58=1,Summary!$B$6,NA()))+(MATCH(1,E58:L58,0)-1)*Summary!$B$7+(MATCH(1,M58:T58,0)-1)*Summary!$B$8+(MATCH(1,U58:AB58,0)-1)*Summary!$B$9</f>
        <v>36.875</v>
      </c>
      <c r="C58" s="35" t="n">
        <v>0</v>
      </c>
      <c r="D58" s="35" t="n">
        <v>1</v>
      </c>
      <c r="E58" s="35" t="n">
        <v>1</v>
      </c>
      <c r="F58" s="35" t="n">
        <v>0</v>
      </c>
      <c r="G58" s="35" t="n">
        <v>0</v>
      </c>
      <c r="H58" s="35" t="n">
        <v>0</v>
      </c>
      <c r="I58" s="35" t="n">
        <v>0</v>
      </c>
      <c r="J58" s="35" t="n">
        <v>0</v>
      </c>
      <c r="K58" s="35" t="n">
        <v>0</v>
      </c>
      <c r="L58" s="35" t="n">
        <v>0</v>
      </c>
      <c r="M58" s="35" t="n">
        <v>0</v>
      </c>
      <c r="N58" s="35" t="n">
        <v>0</v>
      </c>
      <c r="O58" s="35" t="n">
        <v>0</v>
      </c>
      <c r="P58" s="35" t="n">
        <v>0</v>
      </c>
      <c r="Q58" s="35" t="n">
        <v>0</v>
      </c>
      <c r="R58" s="35" t="n">
        <v>0</v>
      </c>
      <c r="S58" s="35" t="n">
        <v>1</v>
      </c>
      <c r="T58" s="35" t="n">
        <v>0</v>
      </c>
      <c r="U58" s="35" t="n">
        <v>0</v>
      </c>
      <c r="V58" s="35" t="n">
        <v>0</v>
      </c>
      <c r="W58" s="35" t="n">
        <v>0</v>
      </c>
      <c r="X58" s="35" t="n">
        <v>0</v>
      </c>
      <c r="Y58" s="35" t="n">
        <v>0</v>
      </c>
      <c r="Z58" s="35" t="n">
        <v>0</v>
      </c>
      <c r="AA58" s="35" t="n">
        <v>0</v>
      </c>
      <c r="AB58" s="35" t="n">
        <v>1</v>
      </c>
      <c r="AC58" s="33" t="s">
        <v>159</v>
      </c>
      <c r="AD58" s="36" t="n">
        <f aca="false">B58-B57</f>
        <v>0.125</v>
      </c>
    </row>
    <row r="59" customFormat="false" ht="15" hidden="false" customHeight="false" outlineLevel="0" collapsed="false">
      <c r="A59" s="30" t="n">
        <v>56</v>
      </c>
      <c r="B59" s="31" t="n">
        <f aca="false">Summary!$B$5+IF(D59=1,0,IF(C59=1,Summary!$B$6,NA()))+(MATCH(1,E59:L59,0)-1)*Summary!$B$7+(MATCH(1,M59:T59,0)-1)*Summary!$B$8+(MATCH(1,U59:AB59,0)-1)*Summary!$B$9</f>
        <v>37</v>
      </c>
      <c r="C59" s="32" t="n">
        <v>0</v>
      </c>
      <c r="D59" s="32" t="n">
        <v>1</v>
      </c>
      <c r="E59" s="32" t="n">
        <v>1</v>
      </c>
      <c r="F59" s="32" t="n">
        <v>0</v>
      </c>
      <c r="G59" s="32" t="n">
        <v>0</v>
      </c>
      <c r="H59" s="32" t="n">
        <v>0</v>
      </c>
      <c r="I59" s="32" t="n">
        <v>0</v>
      </c>
      <c r="J59" s="32" t="n">
        <v>0</v>
      </c>
      <c r="K59" s="32" t="n">
        <v>0</v>
      </c>
      <c r="L59" s="32" t="n">
        <v>0</v>
      </c>
      <c r="M59" s="32" t="n">
        <v>0</v>
      </c>
      <c r="N59" s="32" t="n">
        <v>0</v>
      </c>
      <c r="O59" s="32" t="n">
        <v>0</v>
      </c>
      <c r="P59" s="32" t="n">
        <v>0</v>
      </c>
      <c r="Q59" s="32" t="n">
        <v>0</v>
      </c>
      <c r="R59" s="32" t="n">
        <v>0</v>
      </c>
      <c r="S59" s="32" t="n">
        <v>0</v>
      </c>
      <c r="T59" s="32" t="n">
        <v>1</v>
      </c>
      <c r="U59" s="32" t="n">
        <v>1</v>
      </c>
      <c r="V59" s="32" t="n">
        <v>0</v>
      </c>
      <c r="W59" s="32" t="n">
        <v>0</v>
      </c>
      <c r="X59" s="32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0" t="s">
        <v>160</v>
      </c>
      <c r="AD59" s="37" t="n">
        <f aca="false">B59-B58</f>
        <v>0.125</v>
      </c>
    </row>
    <row r="60" customFormat="false" ht="15" hidden="false" customHeight="false" outlineLevel="0" collapsed="false">
      <c r="A60" s="33" t="n">
        <v>57</v>
      </c>
      <c r="B60" s="34" t="n">
        <f aca="false">Summary!$B$5+IF(D60=1,0,IF(C60=1,Summary!$B$6,NA()))+(MATCH(1,E60:L60,0)-1)*Summary!$B$7+(MATCH(1,M60:T60,0)-1)*Summary!$B$8+(MATCH(1,U60:AB60,0)-1)*Summary!$B$9</f>
        <v>37.125</v>
      </c>
      <c r="C60" s="35" t="n">
        <v>0</v>
      </c>
      <c r="D60" s="35" t="n">
        <v>1</v>
      </c>
      <c r="E60" s="35" t="n">
        <v>1</v>
      </c>
      <c r="F60" s="35" t="n">
        <v>0</v>
      </c>
      <c r="G60" s="35" t="n">
        <v>0</v>
      </c>
      <c r="H60" s="35" t="n">
        <v>0</v>
      </c>
      <c r="I60" s="35" t="n">
        <v>0</v>
      </c>
      <c r="J60" s="35" t="n">
        <v>0</v>
      </c>
      <c r="K60" s="35" t="n">
        <v>0</v>
      </c>
      <c r="L60" s="35" t="n">
        <v>0</v>
      </c>
      <c r="M60" s="35" t="n">
        <v>0</v>
      </c>
      <c r="N60" s="35" t="n">
        <v>0</v>
      </c>
      <c r="O60" s="35" t="n">
        <v>0</v>
      </c>
      <c r="P60" s="35" t="n">
        <v>0</v>
      </c>
      <c r="Q60" s="35" t="n">
        <v>0</v>
      </c>
      <c r="R60" s="35" t="n">
        <v>0</v>
      </c>
      <c r="S60" s="35" t="n">
        <v>0</v>
      </c>
      <c r="T60" s="35" t="n">
        <v>1</v>
      </c>
      <c r="U60" s="35" t="n">
        <v>0</v>
      </c>
      <c r="V60" s="35" t="n">
        <v>1</v>
      </c>
      <c r="W60" s="35" t="n">
        <v>0</v>
      </c>
      <c r="X60" s="35" t="n">
        <v>0</v>
      </c>
      <c r="Y60" s="35" t="n">
        <v>0</v>
      </c>
      <c r="Z60" s="35" t="n">
        <v>0</v>
      </c>
      <c r="AA60" s="35" t="n">
        <v>0</v>
      </c>
      <c r="AB60" s="35" t="n">
        <v>0</v>
      </c>
      <c r="AC60" s="33" t="s">
        <v>161</v>
      </c>
      <c r="AD60" s="36" t="n">
        <f aca="false">B60-B59</f>
        <v>0.125</v>
      </c>
    </row>
    <row r="61" customFormat="false" ht="15" hidden="false" customHeight="false" outlineLevel="0" collapsed="false">
      <c r="A61" s="30" t="n">
        <v>58</v>
      </c>
      <c r="B61" s="31" t="n">
        <f aca="false">Summary!$B$5+IF(D61=1,0,IF(C61=1,Summary!$B$6,NA()))+(MATCH(1,E61:L61,0)-1)*Summary!$B$7+(MATCH(1,M61:T61,0)-1)*Summary!$B$8+(MATCH(1,U61:AB61,0)-1)*Summary!$B$9</f>
        <v>37.25</v>
      </c>
      <c r="C61" s="32" t="n">
        <v>0</v>
      </c>
      <c r="D61" s="32" t="n">
        <v>1</v>
      </c>
      <c r="E61" s="32" t="n">
        <v>1</v>
      </c>
      <c r="F61" s="32" t="n">
        <v>0</v>
      </c>
      <c r="G61" s="32" t="n">
        <v>0</v>
      </c>
      <c r="H61" s="32" t="n">
        <v>0</v>
      </c>
      <c r="I61" s="32" t="n">
        <v>0</v>
      </c>
      <c r="J61" s="32" t="n">
        <v>0</v>
      </c>
      <c r="K61" s="32" t="n">
        <v>0</v>
      </c>
      <c r="L61" s="32" t="n">
        <v>0</v>
      </c>
      <c r="M61" s="32" t="n">
        <v>0</v>
      </c>
      <c r="N61" s="32" t="n">
        <v>0</v>
      </c>
      <c r="O61" s="32" t="n">
        <v>0</v>
      </c>
      <c r="P61" s="32" t="n">
        <v>0</v>
      </c>
      <c r="Q61" s="32" t="n">
        <v>0</v>
      </c>
      <c r="R61" s="32" t="n">
        <v>0</v>
      </c>
      <c r="S61" s="32" t="n">
        <v>0</v>
      </c>
      <c r="T61" s="32" t="n">
        <v>1</v>
      </c>
      <c r="U61" s="32" t="n">
        <v>0</v>
      </c>
      <c r="V61" s="32" t="n">
        <v>0</v>
      </c>
      <c r="W61" s="32" t="n">
        <v>1</v>
      </c>
      <c r="X61" s="32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0" t="s">
        <v>162</v>
      </c>
      <c r="AD61" s="37" t="n">
        <f aca="false">B61-B60</f>
        <v>0.125</v>
      </c>
    </row>
    <row r="62" customFormat="false" ht="15" hidden="false" customHeight="false" outlineLevel="0" collapsed="false">
      <c r="A62" s="33" t="n">
        <v>59</v>
      </c>
      <c r="B62" s="34" t="n">
        <f aca="false">Summary!$B$5+IF(D62=1,0,IF(C62=1,Summary!$B$6,NA()))+(MATCH(1,E62:L62,0)-1)*Summary!$B$7+(MATCH(1,M62:T62,0)-1)*Summary!$B$8+(MATCH(1,U62:AB62,0)-1)*Summary!$B$9</f>
        <v>37.375</v>
      </c>
      <c r="C62" s="35" t="n">
        <v>0</v>
      </c>
      <c r="D62" s="35" t="n">
        <v>1</v>
      </c>
      <c r="E62" s="35" t="n">
        <v>1</v>
      </c>
      <c r="F62" s="35" t="n">
        <v>0</v>
      </c>
      <c r="G62" s="35" t="n">
        <v>0</v>
      </c>
      <c r="H62" s="35" t="n">
        <v>0</v>
      </c>
      <c r="I62" s="35" t="n">
        <v>0</v>
      </c>
      <c r="J62" s="35" t="n">
        <v>0</v>
      </c>
      <c r="K62" s="35" t="n">
        <v>0</v>
      </c>
      <c r="L62" s="35" t="n">
        <v>0</v>
      </c>
      <c r="M62" s="35" t="n">
        <v>0</v>
      </c>
      <c r="N62" s="35" t="n">
        <v>0</v>
      </c>
      <c r="O62" s="35" t="n">
        <v>0</v>
      </c>
      <c r="P62" s="35" t="n">
        <v>0</v>
      </c>
      <c r="Q62" s="35" t="n">
        <v>0</v>
      </c>
      <c r="R62" s="35" t="n">
        <v>0</v>
      </c>
      <c r="S62" s="35" t="n">
        <v>0</v>
      </c>
      <c r="T62" s="35" t="n">
        <v>1</v>
      </c>
      <c r="U62" s="35" t="n">
        <v>0</v>
      </c>
      <c r="V62" s="35" t="n">
        <v>0</v>
      </c>
      <c r="W62" s="35" t="n">
        <v>0</v>
      </c>
      <c r="X62" s="35" t="n">
        <v>1</v>
      </c>
      <c r="Y62" s="35" t="n">
        <v>0</v>
      </c>
      <c r="Z62" s="35" t="n">
        <v>0</v>
      </c>
      <c r="AA62" s="35" t="n">
        <v>0</v>
      </c>
      <c r="AB62" s="35" t="n">
        <v>0</v>
      </c>
      <c r="AC62" s="33" t="s">
        <v>163</v>
      </c>
      <c r="AD62" s="36" t="n">
        <f aca="false">B62-B61</f>
        <v>0.125</v>
      </c>
    </row>
    <row r="63" customFormat="false" ht="15" hidden="false" customHeight="false" outlineLevel="0" collapsed="false">
      <c r="A63" s="30" t="n">
        <v>60</v>
      </c>
      <c r="B63" s="31" t="n">
        <f aca="false">Summary!$B$5+IF(D63=1,0,IF(C63=1,Summary!$B$6,NA()))+(MATCH(1,E63:L63,0)-1)*Summary!$B$7+(MATCH(1,M63:T63,0)-1)*Summary!$B$8+(MATCH(1,U63:AB63,0)-1)*Summary!$B$9</f>
        <v>37.5</v>
      </c>
      <c r="C63" s="32" t="n">
        <v>0</v>
      </c>
      <c r="D63" s="32" t="n">
        <v>1</v>
      </c>
      <c r="E63" s="32" t="n">
        <v>1</v>
      </c>
      <c r="F63" s="32" t="n">
        <v>0</v>
      </c>
      <c r="G63" s="32" t="n">
        <v>0</v>
      </c>
      <c r="H63" s="32" t="n">
        <v>0</v>
      </c>
      <c r="I63" s="32" t="n">
        <v>0</v>
      </c>
      <c r="J63" s="32" t="n">
        <v>0</v>
      </c>
      <c r="K63" s="32" t="n">
        <v>0</v>
      </c>
      <c r="L63" s="32" t="n">
        <v>0</v>
      </c>
      <c r="M63" s="32" t="n">
        <v>0</v>
      </c>
      <c r="N63" s="32" t="n">
        <v>0</v>
      </c>
      <c r="O63" s="32" t="n">
        <v>0</v>
      </c>
      <c r="P63" s="32" t="n">
        <v>0</v>
      </c>
      <c r="Q63" s="32" t="n">
        <v>0</v>
      </c>
      <c r="R63" s="32" t="n">
        <v>0</v>
      </c>
      <c r="S63" s="32" t="n">
        <v>0</v>
      </c>
      <c r="T63" s="32" t="n">
        <v>1</v>
      </c>
      <c r="U63" s="32" t="n">
        <v>0</v>
      </c>
      <c r="V63" s="32" t="n">
        <v>0</v>
      </c>
      <c r="W63" s="32" t="n">
        <v>0</v>
      </c>
      <c r="X63" s="32" t="n">
        <v>0</v>
      </c>
      <c r="Y63" s="32" t="n">
        <v>1</v>
      </c>
      <c r="Z63" s="32" t="n">
        <v>0</v>
      </c>
      <c r="AA63" s="32" t="n">
        <v>0</v>
      </c>
      <c r="AB63" s="32" t="n">
        <v>0</v>
      </c>
      <c r="AC63" s="30" t="s">
        <v>164</v>
      </c>
      <c r="AD63" s="37" t="n">
        <f aca="false">B63-B62</f>
        <v>0.125</v>
      </c>
    </row>
    <row r="64" customFormat="false" ht="15" hidden="false" customHeight="false" outlineLevel="0" collapsed="false">
      <c r="A64" s="33" t="n">
        <v>61</v>
      </c>
      <c r="B64" s="34" t="n">
        <f aca="false">Summary!$B$5+IF(D64=1,0,IF(C64=1,Summary!$B$6,NA()))+(MATCH(1,E64:L64,0)-1)*Summary!$B$7+(MATCH(1,M64:T64,0)-1)*Summary!$B$8+(MATCH(1,U64:AB64,0)-1)*Summary!$B$9</f>
        <v>37.625</v>
      </c>
      <c r="C64" s="35" t="n">
        <v>0</v>
      </c>
      <c r="D64" s="35" t="n">
        <v>1</v>
      </c>
      <c r="E64" s="35" t="n">
        <v>1</v>
      </c>
      <c r="F64" s="35" t="n">
        <v>0</v>
      </c>
      <c r="G64" s="35" t="n">
        <v>0</v>
      </c>
      <c r="H64" s="35" t="n">
        <v>0</v>
      </c>
      <c r="I64" s="35" t="n">
        <v>0</v>
      </c>
      <c r="J64" s="35" t="n">
        <v>0</v>
      </c>
      <c r="K64" s="35" t="n">
        <v>0</v>
      </c>
      <c r="L64" s="35" t="n">
        <v>0</v>
      </c>
      <c r="M64" s="35" t="n">
        <v>0</v>
      </c>
      <c r="N64" s="35" t="n">
        <v>0</v>
      </c>
      <c r="O64" s="35" t="n">
        <v>0</v>
      </c>
      <c r="P64" s="35" t="n">
        <v>0</v>
      </c>
      <c r="Q64" s="35" t="n">
        <v>0</v>
      </c>
      <c r="R64" s="35" t="n">
        <v>0</v>
      </c>
      <c r="S64" s="35" t="n">
        <v>0</v>
      </c>
      <c r="T64" s="35" t="n">
        <v>1</v>
      </c>
      <c r="U64" s="35" t="n">
        <v>0</v>
      </c>
      <c r="V64" s="35" t="n">
        <v>0</v>
      </c>
      <c r="W64" s="35" t="n">
        <v>0</v>
      </c>
      <c r="X64" s="35" t="n">
        <v>0</v>
      </c>
      <c r="Y64" s="35" t="n">
        <v>0</v>
      </c>
      <c r="Z64" s="35" t="n">
        <v>1</v>
      </c>
      <c r="AA64" s="35" t="n">
        <v>0</v>
      </c>
      <c r="AB64" s="35" t="n">
        <v>0</v>
      </c>
      <c r="AC64" s="33" t="s">
        <v>165</v>
      </c>
      <c r="AD64" s="36" t="n">
        <f aca="false">B64-B63</f>
        <v>0.125</v>
      </c>
    </row>
    <row r="65" customFormat="false" ht="15" hidden="false" customHeight="false" outlineLevel="0" collapsed="false">
      <c r="A65" s="30" t="n">
        <v>62</v>
      </c>
      <c r="B65" s="31" t="n">
        <f aca="false">Summary!$B$5+IF(D65=1,0,IF(C65=1,Summary!$B$6,NA()))+(MATCH(1,E65:L65,0)-1)*Summary!$B$7+(MATCH(1,M65:T65,0)-1)*Summary!$B$8+(MATCH(1,U65:AB65,0)-1)*Summary!$B$9</f>
        <v>37.75</v>
      </c>
      <c r="C65" s="32" t="n">
        <v>0</v>
      </c>
      <c r="D65" s="32" t="n">
        <v>1</v>
      </c>
      <c r="E65" s="32" t="n">
        <v>1</v>
      </c>
      <c r="F65" s="32" t="n">
        <v>0</v>
      </c>
      <c r="G65" s="32" t="n">
        <v>0</v>
      </c>
      <c r="H65" s="32" t="n">
        <v>0</v>
      </c>
      <c r="I65" s="32" t="n">
        <v>0</v>
      </c>
      <c r="J65" s="32" t="n">
        <v>0</v>
      </c>
      <c r="K65" s="32" t="n">
        <v>0</v>
      </c>
      <c r="L65" s="32" t="n">
        <v>0</v>
      </c>
      <c r="M65" s="32" t="n">
        <v>0</v>
      </c>
      <c r="N65" s="32" t="n">
        <v>0</v>
      </c>
      <c r="O65" s="32" t="n">
        <v>0</v>
      </c>
      <c r="P65" s="32" t="n">
        <v>0</v>
      </c>
      <c r="Q65" s="32" t="n">
        <v>0</v>
      </c>
      <c r="R65" s="32" t="n">
        <v>0</v>
      </c>
      <c r="S65" s="32" t="n">
        <v>0</v>
      </c>
      <c r="T65" s="32" t="n">
        <v>1</v>
      </c>
      <c r="U65" s="32" t="n">
        <v>0</v>
      </c>
      <c r="V65" s="32" t="n">
        <v>0</v>
      </c>
      <c r="W65" s="32" t="n">
        <v>0</v>
      </c>
      <c r="X65" s="32" t="n">
        <v>0</v>
      </c>
      <c r="Y65" s="32" t="n">
        <v>0</v>
      </c>
      <c r="Z65" s="32" t="n">
        <v>0</v>
      </c>
      <c r="AA65" s="32" t="n">
        <v>1</v>
      </c>
      <c r="AB65" s="32" t="n">
        <v>0</v>
      </c>
      <c r="AC65" s="30" t="s">
        <v>166</v>
      </c>
      <c r="AD65" s="37" t="n">
        <f aca="false">B65-B64</f>
        <v>0.125</v>
      </c>
    </row>
    <row r="66" customFormat="false" ht="15" hidden="false" customHeight="false" outlineLevel="0" collapsed="false">
      <c r="A66" s="33" t="n">
        <v>63</v>
      </c>
      <c r="B66" s="34" t="n">
        <f aca="false">Summary!$B$5+IF(D66=1,0,IF(C66=1,Summary!$B$6,NA()))+(MATCH(1,E66:L66,0)-1)*Summary!$B$7+(MATCH(1,M66:T66,0)-1)*Summary!$B$8+(MATCH(1,U66:AB66,0)-1)*Summary!$B$9</f>
        <v>37.875</v>
      </c>
      <c r="C66" s="35" t="n">
        <v>0</v>
      </c>
      <c r="D66" s="35" t="n">
        <v>1</v>
      </c>
      <c r="E66" s="35" t="n">
        <v>1</v>
      </c>
      <c r="F66" s="35" t="n">
        <v>0</v>
      </c>
      <c r="G66" s="35" t="n">
        <v>0</v>
      </c>
      <c r="H66" s="35" t="n">
        <v>0</v>
      </c>
      <c r="I66" s="35" t="n">
        <v>0</v>
      </c>
      <c r="J66" s="35" t="n">
        <v>0</v>
      </c>
      <c r="K66" s="35" t="n">
        <v>0</v>
      </c>
      <c r="L66" s="35" t="n">
        <v>0</v>
      </c>
      <c r="M66" s="35" t="n">
        <v>0</v>
      </c>
      <c r="N66" s="35" t="n">
        <v>0</v>
      </c>
      <c r="O66" s="35" t="n">
        <v>0</v>
      </c>
      <c r="P66" s="35" t="n">
        <v>0</v>
      </c>
      <c r="Q66" s="35" t="n">
        <v>0</v>
      </c>
      <c r="R66" s="35" t="n">
        <v>0</v>
      </c>
      <c r="S66" s="35" t="n">
        <v>0</v>
      </c>
      <c r="T66" s="35" t="n">
        <v>1</v>
      </c>
      <c r="U66" s="35" t="n">
        <v>0</v>
      </c>
      <c r="V66" s="35" t="n">
        <v>0</v>
      </c>
      <c r="W66" s="35" t="n">
        <v>0</v>
      </c>
      <c r="X66" s="35" t="n">
        <v>0</v>
      </c>
      <c r="Y66" s="35" t="n">
        <v>0</v>
      </c>
      <c r="Z66" s="35" t="n">
        <v>0</v>
      </c>
      <c r="AA66" s="35" t="n">
        <v>0</v>
      </c>
      <c r="AB66" s="35" t="n">
        <v>1</v>
      </c>
      <c r="AC66" s="33" t="s">
        <v>167</v>
      </c>
      <c r="AD66" s="36" t="n">
        <f aca="false">B66-B65</f>
        <v>0.125</v>
      </c>
    </row>
    <row r="67" customFormat="false" ht="15" hidden="false" customHeight="false" outlineLevel="0" collapsed="false">
      <c r="A67" s="30" t="n">
        <v>64</v>
      </c>
      <c r="B67" s="31" t="n">
        <f aca="false">Summary!$B$5+IF(D67=1,0,IF(C67=1,Summary!$B$6,NA()))+(MATCH(1,E67:L67,0)-1)*Summary!$B$7+(MATCH(1,M67:T67,0)-1)*Summary!$B$8+(MATCH(1,U67:AB67,0)-1)*Summary!$B$9</f>
        <v>38</v>
      </c>
      <c r="C67" s="32" t="n">
        <v>0</v>
      </c>
      <c r="D67" s="32" t="n">
        <v>1</v>
      </c>
      <c r="E67" s="32" t="n">
        <v>0</v>
      </c>
      <c r="F67" s="32" t="n">
        <v>1</v>
      </c>
      <c r="G67" s="32" t="n">
        <v>0</v>
      </c>
      <c r="H67" s="32" t="n">
        <v>0</v>
      </c>
      <c r="I67" s="32" t="n">
        <v>0</v>
      </c>
      <c r="J67" s="32" t="n">
        <v>0</v>
      </c>
      <c r="K67" s="32" t="n">
        <v>0</v>
      </c>
      <c r="L67" s="32" t="n">
        <v>0</v>
      </c>
      <c r="M67" s="32" t="n">
        <v>1</v>
      </c>
      <c r="N67" s="32" t="n">
        <v>0</v>
      </c>
      <c r="O67" s="32" t="n">
        <v>0</v>
      </c>
      <c r="P67" s="32" t="n">
        <v>0</v>
      </c>
      <c r="Q67" s="32" t="n">
        <v>0</v>
      </c>
      <c r="R67" s="32" t="n">
        <v>0</v>
      </c>
      <c r="S67" s="32" t="n">
        <v>0</v>
      </c>
      <c r="T67" s="32" t="n">
        <v>0</v>
      </c>
      <c r="U67" s="32" t="n">
        <v>1</v>
      </c>
      <c r="V67" s="32" t="n">
        <v>0</v>
      </c>
      <c r="W67" s="32" t="n">
        <v>0</v>
      </c>
      <c r="X67" s="32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0" t="s">
        <v>168</v>
      </c>
      <c r="AD67" s="37" t="n">
        <f aca="false">B67-B66</f>
        <v>0.125</v>
      </c>
    </row>
    <row r="68" customFormat="false" ht="15" hidden="false" customHeight="false" outlineLevel="0" collapsed="false">
      <c r="A68" s="33" t="n">
        <v>65</v>
      </c>
      <c r="B68" s="34" t="n">
        <f aca="false">Summary!$B$5+IF(D68=1,0,IF(C68=1,Summary!$B$6,NA()))+(MATCH(1,E68:L68,0)-1)*Summary!$B$7+(MATCH(1,M68:T68,0)-1)*Summary!$B$8+(MATCH(1,U68:AB68,0)-1)*Summary!$B$9</f>
        <v>38.125</v>
      </c>
      <c r="C68" s="35" t="n">
        <v>0</v>
      </c>
      <c r="D68" s="35" t="n">
        <v>1</v>
      </c>
      <c r="E68" s="35" t="n">
        <v>0</v>
      </c>
      <c r="F68" s="35" t="n">
        <v>1</v>
      </c>
      <c r="G68" s="35" t="n">
        <v>0</v>
      </c>
      <c r="H68" s="35" t="n">
        <v>0</v>
      </c>
      <c r="I68" s="35" t="n">
        <v>0</v>
      </c>
      <c r="J68" s="35" t="n">
        <v>0</v>
      </c>
      <c r="K68" s="35" t="n">
        <v>0</v>
      </c>
      <c r="L68" s="35" t="n">
        <v>0</v>
      </c>
      <c r="M68" s="35" t="n">
        <v>1</v>
      </c>
      <c r="N68" s="35" t="n">
        <v>0</v>
      </c>
      <c r="O68" s="35" t="n">
        <v>0</v>
      </c>
      <c r="P68" s="35" t="n">
        <v>0</v>
      </c>
      <c r="Q68" s="35" t="n">
        <v>0</v>
      </c>
      <c r="R68" s="35" t="n">
        <v>0</v>
      </c>
      <c r="S68" s="35" t="n">
        <v>0</v>
      </c>
      <c r="T68" s="35" t="n">
        <v>0</v>
      </c>
      <c r="U68" s="35" t="n">
        <v>0</v>
      </c>
      <c r="V68" s="35" t="n">
        <v>1</v>
      </c>
      <c r="W68" s="35" t="n">
        <v>0</v>
      </c>
      <c r="X68" s="35" t="n">
        <v>0</v>
      </c>
      <c r="Y68" s="35" t="n">
        <v>0</v>
      </c>
      <c r="Z68" s="35" t="n">
        <v>0</v>
      </c>
      <c r="AA68" s="35" t="n">
        <v>0</v>
      </c>
      <c r="AB68" s="35" t="n">
        <v>0</v>
      </c>
      <c r="AC68" s="33" t="s">
        <v>169</v>
      </c>
      <c r="AD68" s="36" t="n">
        <f aca="false">B68-B67</f>
        <v>0.125</v>
      </c>
    </row>
    <row r="69" customFormat="false" ht="15" hidden="false" customHeight="false" outlineLevel="0" collapsed="false">
      <c r="A69" s="30" t="n">
        <v>66</v>
      </c>
      <c r="B69" s="31" t="n">
        <f aca="false">Summary!$B$5+IF(D69=1,0,IF(C69=1,Summary!$B$6,NA()))+(MATCH(1,E69:L69,0)-1)*Summary!$B$7+(MATCH(1,M69:T69,0)-1)*Summary!$B$8+(MATCH(1,U69:AB69,0)-1)*Summary!$B$9</f>
        <v>38.25</v>
      </c>
      <c r="C69" s="32" t="n">
        <v>0</v>
      </c>
      <c r="D69" s="32" t="n">
        <v>1</v>
      </c>
      <c r="E69" s="32" t="n">
        <v>0</v>
      </c>
      <c r="F69" s="32" t="n">
        <v>1</v>
      </c>
      <c r="G69" s="32" t="n">
        <v>0</v>
      </c>
      <c r="H69" s="32" t="n">
        <v>0</v>
      </c>
      <c r="I69" s="32" t="n">
        <v>0</v>
      </c>
      <c r="J69" s="32" t="n">
        <v>0</v>
      </c>
      <c r="K69" s="32" t="n">
        <v>0</v>
      </c>
      <c r="L69" s="32" t="n">
        <v>0</v>
      </c>
      <c r="M69" s="32" t="n">
        <v>1</v>
      </c>
      <c r="N69" s="32" t="n">
        <v>0</v>
      </c>
      <c r="O69" s="32" t="n">
        <v>0</v>
      </c>
      <c r="P69" s="32" t="n">
        <v>0</v>
      </c>
      <c r="Q69" s="32" t="n">
        <v>0</v>
      </c>
      <c r="R69" s="32" t="n">
        <v>0</v>
      </c>
      <c r="S69" s="32" t="n">
        <v>0</v>
      </c>
      <c r="T69" s="32" t="n">
        <v>0</v>
      </c>
      <c r="U69" s="32" t="n">
        <v>0</v>
      </c>
      <c r="V69" s="32" t="n">
        <v>0</v>
      </c>
      <c r="W69" s="32" t="n">
        <v>1</v>
      </c>
      <c r="X69" s="32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0" t="s">
        <v>170</v>
      </c>
      <c r="AD69" s="37" t="n">
        <f aca="false">B69-B68</f>
        <v>0.125</v>
      </c>
    </row>
    <row r="70" customFormat="false" ht="15" hidden="false" customHeight="false" outlineLevel="0" collapsed="false">
      <c r="A70" s="33" t="n">
        <v>67</v>
      </c>
      <c r="B70" s="34" t="n">
        <f aca="false">Summary!$B$5+IF(D70=1,0,IF(C70=1,Summary!$B$6,NA()))+(MATCH(1,E70:L70,0)-1)*Summary!$B$7+(MATCH(1,M70:T70,0)-1)*Summary!$B$8+(MATCH(1,U70:AB70,0)-1)*Summary!$B$9</f>
        <v>38.375</v>
      </c>
      <c r="C70" s="35" t="n">
        <v>0</v>
      </c>
      <c r="D70" s="35" t="n">
        <v>1</v>
      </c>
      <c r="E70" s="35" t="n">
        <v>0</v>
      </c>
      <c r="F70" s="35" t="n">
        <v>1</v>
      </c>
      <c r="G70" s="35" t="n">
        <v>0</v>
      </c>
      <c r="H70" s="35" t="n">
        <v>0</v>
      </c>
      <c r="I70" s="35" t="n">
        <v>0</v>
      </c>
      <c r="J70" s="35" t="n">
        <v>0</v>
      </c>
      <c r="K70" s="35" t="n">
        <v>0</v>
      </c>
      <c r="L70" s="35" t="n">
        <v>0</v>
      </c>
      <c r="M70" s="35" t="n">
        <v>1</v>
      </c>
      <c r="N70" s="35" t="n">
        <v>0</v>
      </c>
      <c r="O70" s="35" t="n">
        <v>0</v>
      </c>
      <c r="P70" s="35" t="n">
        <v>0</v>
      </c>
      <c r="Q70" s="35" t="n">
        <v>0</v>
      </c>
      <c r="R70" s="35" t="n">
        <v>0</v>
      </c>
      <c r="S70" s="35" t="n">
        <v>0</v>
      </c>
      <c r="T70" s="35" t="n">
        <v>0</v>
      </c>
      <c r="U70" s="35" t="n">
        <v>0</v>
      </c>
      <c r="V70" s="35" t="n">
        <v>0</v>
      </c>
      <c r="W70" s="35" t="n">
        <v>0</v>
      </c>
      <c r="X70" s="35" t="n">
        <v>1</v>
      </c>
      <c r="Y70" s="35" t="n">
        <v>0</v>
      </c>
      <c r="Z70" s="35" t="n">
        <v>0</v>
      </c>
      <c r="AA70" s="35" t="n">
        <v>0</v>
      </c>
      <c r="AB70" s="35" t="n">
        <v>0</v>
      </c>
      <c r="AC70" s="33" t="s">
        <v>171</v>
      </c>
      <c r="AD70" s="36" t="n">
        <f aca="false">B70-B69</f>
        <v>0.125</v>
      </c>
    </row>
    <row r="71" customFormat="false" ht="15" hidden="false" customHeight="false" outlineLevel="0" collapsed="false">
      <c r="A71" s="30" t="n">
        <v>68</v>
      </c>
      <c r="B71" s="31" t="n">
        <f aca="false">Summary!$B$5+IF(D71=1,0,IF(C71=1,Summary!$B$6,NA()))+(MATCH(1,E71:L71,0)-1)*Summary!$B$7+(MATCH(1,M71:T71,0)-1)*Summary!$B$8+(MATCH(1,U71:AB71,0)-1)*Summary!$B$9</f>
        <v>38.5</v>
      </c>
      <c r="C71" s="32" t="n">
        <v>0</v>
      </c>
      <c r="D71" s="32" t="n">
        <v>1</v>
      </c>
      <c r="E71" s="32" t="n">
        <v>0</v>
      </c>
      <c r="F71" s="32" t="n">
        <v>1</v>
      </c>
      <c r="G71" s="32" t="n">
        <v>0</v>
      </c>
      <c r="H71" s="32" t="n">
        <v>0</v>
      </c>
      <c r="I71" s="32" t="n">
        <v>0</v>
      </c>
      <c r="J71" s="32" t="n">
        <v>0</v>
      </c>
      <c r="K71" s="32" t="n">
        <v>0</v>
      </c>
      <c r="L71" s="32" t="n">
        <v>0</v>
      </c>
      <c r="M71" s="32" t="n">
        <v>1</v>
      </c>
      <c r="N71" s="32" t="n">
        <v>0</v>
      </c>
      <c r="O71" s="32" t="n">
        <v>0</v>
      </c>
      <c r="P71" s="32" t="n">
        <v>0</v>
      </c>
      <c r="Q71" s="32" t="n">
        <v>0</v>
      </c>
      <c r="R71" s="32" t="n">
        <v>0</v>
      </c>
      <c r="S71" s="32" t="n">
        <v>0</v>
      </c>
      <c r="T71" s="32" t="n">
        <v>0</v>
      </c>
      <c r="U71" s="32" t="n">
        <v>0</v>
      </c>
      <c r="V71" s="32" t="n">
        <v>0</v>
      </c>
      <c r="W71" s="32" t="n">
        <v>0</v>
      </c>
      <c r="X71" s="32" t="n">
        <v>0</v>
      </c>
      <c r="Y71" s="32" t="n">
        <v>1</v>
      </c>
      <c r="Z71" s="32" t="n">
        <v>0</v>
      </c>
      <c r="AA71" s="32" t="n">
        <v>0</v>
      </c>
      <c r="AB71" s="32" t="n">
        <v>0</v>
      </c>
      <c r="AC71" s="30" t="s">
        <v>172</v>
      </c>
      <c r="AD71" s="37" t="n">
        <f aca="false">B71-B70</f>
        <v>0.125</v>
      </c>
    </row>
    <row r="72" customFormat="false" ht="15" hidden="false" customHeight="false" outlineLevel="0" collapsed="false">
      <c r="A72" s="33" t="n">
        <v>69</v>
      </c>
      <c r="B72" s="34" t="n">
        <f aca="false">Summary!$B$5+IF(D72=1,0,IF(C72=1,Summary!$B$6,NA()))+(MATCH(1,E72:L72,0)-1)*Summary!$B$7+(MATCH(1,M72:T72,0)-1)*Summary!$B$8+(MATCH(1,U72:AB72,0)-1)*Summary!$B$9</f>
        <v>38.625</v>
      </c>
      <c r="C72" s="35" t="n">
        <v>0</v>
      </c>
      <c r="D72" s="35" t="n">
        <v>1</v>
      </c>
      <c r="E72" s="35" t="n">
        <v>0</v>
      </c>
      <c r="F72" s="35" t="n">
        <v>1</v>
      </c>
      <c r="G72" s="35" t="n">
        <v>0</v>
      </c>
      <c r="H72" s="35" t="n">
        <v>0</v>
      </c>
      <c r="I72" s="35" t="n">
        <v>0</v>
      </c>
      <c r="J72" s="35" t="n">
        <v>0</v>
      </c>
      <c r="K72" s="35" t="n">
        <v>0</v>
      </c>
      <c r="L72" s="35" t="n">
        <v>0</v>
      </c>
      <c r="M72" s="35" t="n">
        <v>1</v>
      </c>
      <c r="N72" s="35" t="n">
        <v>0</v>
      </c>
      <c r="O72" s="35" t="n">
        <v>0</v>
      </c>
      <c r="P72" s="35" t="n">
        <v>0</v>
      </c>
      <c r="Q72" s="35" t="n">
        <v>0</v>
      </c>
      <c r="R72" s="35" t="n">
        <v>0</v>
      </c>
      <c r="S72" s="35" t="n">
        <v>0</v>
      </c>
      <c r="T72" s="35" t="n">
        <v>0</v>
      </c>
      <c r="U72" s="35" t="n">
        <v>0</v>
      </c>
      <c r="V72" s="35" t="n">
        <v>0</v>
      </c>
      <c r="W72" s="35" t="n">
        <v>0</v>
      </c>
      <c r="X72" s="35" t="n">
        <v>0</v>
      </c>
      <c r="Y72" s="35" t="n">
        <v>0</v>
      </c>
      <c r="Z72" s="35" t="n">
        <v>1</v>
      </c>
      <c r="AA72" s="35" t="n">
        <v>0</v>
      </c>
      <c r="AB72" s="35" t="n">
        <v>0</v>
      </c>
      <c r="AC72" s="33" t="s">
        <v>173</v>
      </c>
      <c r="AD72" s="36" t="n">
        <f aca="false">B72-B71</f>
        <v>0.125</v>
      </c>
    </row>
    <row r="73" customFormat="false" ht="15" hidden="false" customHeight="false" outlineLevel="0" collapsed="false">
      <c r="A73" s="30" t="n">
        <v>70</v>
      </c>
      <c r="B73" s="31" t="n">
        <f aca="false">Summary!$B$5+IF(D73=1,0,IF(C73=1,Summary!$B$6,NA()))+(MATCH(1,E73:L73,0)-1)*Summary!$B$7+(MATCH(1,M73:T73,0)-1)*Summary!$B$8+(MATCH(1,U73:AB73,0)-1)*Summary!$B$9</f>
        <v>38.75</v>
      </c>
      <c r="C73" s="32" t="n">
        <v>0</v>
      </c>
      <c r="D73" s="32" t="n">
        <v>1</v>
      </c>
      <c r="E73" s="32" t="n">
        <v>0</v>
      </c>
      <c r="F73" s="32" t="n">
        <v>1</v>
      </c>
      <c r="G73" s="32" t="n">
        <v>0</v>
      </c>
      <c r="H73" s="32" t="n">
        <v>0</v>
      </c>
      <c r="I73" s="32" t="n">
        <v>0</v>
      </c>
      <c r="J73" s="32" t="n">
        <v>0</v>
      </c>
      <c r="K73" s="32" t="n">
        <v>0</v>
      </c>
      <c r="L73" s="32" t="n">
        <v>0</v>
      </c>
      <c r="M73" s="32" t="n">
        <v>1</v>
      </c>
      <c r="N73" s="32" t="n">
        <v>0</v>
      </c>
      <c r="O73" s="32" t="n">
        <v>0</v>
      </c>
      <c r="P73" s="32" t="n">
        <v>0</v>
      </c>
      <c r="Q73" s="32" t="n">
        <v>0</v>
      </c>
      <c r="R73" s="32" t="n">
        <v>0</v>
      </c>
      <c r="S73" s="32" t="n">
        <v>0</v>
      </c>
      <c r="T73" s="32" t="n">
        <v>0</v>
      </c>
      <c r="U73" s="32" t="n">
        <v>0</v>
      </c>
      <c r="V73" s="32" t="n">
        <v>0</v>
      </c>
      <c r="W73" s="32" t="n">
        <v>0</v>
      </c>
      <c r="X73" s="32" t="n">
        <v>0</v>
      </c>
      <c r="Y73" s="32" t="n">
        <v>0</v>
      </c>
      <c r="Z73" s="32" t="n">
        <v>0</v>
      </c>
      <c r="AA73" s="32" t="n">
        <v>1</v>
      </c>
      <c r="AB73" s="32" t="n">
        <v>0</v>
      </c>
      <c r="AC73" s="30" t="s">
        <v>174</v>
      </c>
      <c r="AD73" s="37" t="n">
        <f aca="false">B73-B72</f>
        <v>0.125</v>
      </c>
    </row>
    <row r="74" customFormat="false" ht="15" hidden="false" customHeight="false" outlineLevel="0" collapsed="false">
      <c r="A74" s="33" t="n">
        <v>71</v>
      </c>
      <c r="B74" s="34" t="n">
        <f aca="false">Summary!$B$5+IF(D74=1,0,IF(C74=1,Summary!$B$6,NA()))+(MATCH(1,E74:L74,0)-1)*Summary!$B$7+(MATCH(1,M74:T74,0)-1)*Summary!$B$8+(MATCH(1,U74:AB74,0)-1)*Summary!$B$9</f>
        <v>38.875</v>
      </c>
      <c r="C74" s="35" t="n">
        <v>0</v>
      </c>
      <c r="D74" s="35" t="n">
        <v>1</v>
      </c>
      <c r="E74" s="35" t="n">
        <v>0</v>
      </c>
      <c r="F74" s="35" t="n">
        <v>1</v>
      </c>
      <c r="G74" s="35" t="n">
        <v>0</v>
      </c>
      <c r="H74" s="35" t="n">
        <v>0</v>
      </c>
      <c r="I74" s="35" t="n">
        <v>0</v>
      </c>
      <c r="J74" s="35" t="n">
        <v>0</v>
      </c>
      <c r="K74" s="35" t="n">
        <v>0</v>
      </c>
      <c r="L74" s="35" t="n">
        <v>0</v>
      </c>
      <c r="M74" s="35" t="n">
        <v>1</v>
      </c>
      <c r="N74" s="35" t="n">
        <v>0</v>
      </c>
      <c r="O74" s="35" t="n">
        <v>0</v>
      </c>
      <c r="P74" s="35" t="n">
        <v>0</v>
      </c>
      <c r="Q74" s="35" t="n">
        <v>0</v>
      </c>
      <c r="R74" s="35" t="n">
        <v>0</v>
      </c>
      <c r="S74" s="35" t="n">
        <v>0</v>
      </c>
      <c r="T74" s="35" t="n">
        <v>0</v>
      </c>
      <c r="U74" s="35" t="n">
        <v>0</v>
      </c>
      <c r="V74" s="35" t="n">
        <v>0</v>
      </c>
      <c r="W74" s="35" t="n">
        <v>0</v>
      </c>
      <c r="X74" s="35" t="n">
        <v>0</v>
      </c>
      <c r="Y74" s="35" t="n">
        <v>0</v>
      </c>
      <c r="Z74" s="35" t="n">
        <v>0</v>
      </c>
      <c r="AA74" s="35" t="n">
        <v>0</v>
      </c>
      <c r="AB74" s="35" t="n">
        <v>1</v>
      </c>
      <c r="AC74" s="33" t="s">
        <v>175</v>
      </c>
      <c r="AD74" s="36" t="n">
        <f aca="false">B74-B73</f>
        <v>0.125</v>
      </c>
    </row>
    <row r="75" customFormat="false" ht="15" hidden="false" customHeight="false" outlineLevel="0" collapsed="false">
      <c r="A75" s="30" t="n">
        <v>72</v>
      </c>
      <c r="B75" s="31" t="n">
        <f aca="false">Summary!$B$5+IF(D75=1,0,IF(C75=1,Summary!$B$6,NA()))+(MATCH(1,E75:L75,0)-1)*Summary!$B$7+(MATCH(1,M75:T75,0)-1)*Summary!$B$8+(MATCH(1,U75:AB75,0)-1)*Summary!$B$9</f>
        <v>39</v>
      </c>
      <c r="C75" s="32" t="n">
        <v>0</v>
      </c>
      <c r="D75" s="32" t="n">
        <v>1</v>
      </c>
      <c r="E75" s="32" t="n">
        <v>0</v>
      </c>
      <c r="F75" s="32" t="n">
        <v>1</v>
      </c>
      <c r="G75" s="32" t="n">
        <v>0</v>
      </c>
      <c r="H75" s="32" t="n">
        <v>0</v>
      </c>
      <c r="I75" s="32" t="n">
        <v>0</v>
      </c>
      <c r="J75" s="32" t="n">
        <v>0</v>
      </c>
      <c r="K75" s="32" t="n">
        <v>0</v>
      </c>
      <c r="L75" s="32" t="n">
        <v>0</v>
      </c>
      <c r="M75" s="32" t="n">
        <v>0</v>
      </c>
      <c r="N75" s="32" t="n">
        <v>1</v>
      </c>
      <c r="O75" s="32" t="n">
        <v>0</v>
      </c>
      <c r="P75" s="32" t="n">
        <v>0</v>
      </c>
      <c r="Q75" s="32" t="n">
        <v>0</v>
      </c>
      <c r="R75" s="32" t="n">
        <v>0</v>
      </c>
      <c r="S75" s="32" t="n">
        <v>0</v>
      </c>
      <c r="T75" s="32" t="n">
        <v>0</v>
      </c>
      <c r="U75" s="32" t="n">
        <v>1</v>
      </c>
      <c r="V75" s="32" t="n">
        <v>0</v>
      </c>
      <c r="W75" s="32" t="n">
        <v>0</v>
      </c>
      <c r="X75" s="32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0" t="s">
        <v>176</v>
      </c>
      <c r="AD75" s="37" t="n">
        <f aca="false">B75-B74</f>
        <v>0.125</v>
      </c>
    </row>
    <row r="76" customFormat="false" ht="15" hidden="false" customHeight="false" outlineLevel="0" collapsed="false">
      <c r="A76" s="33" t="n">
        <v>73</v>
      </c>
      <c r="B76" s="34" t="n">
        <f aca="false">Summary!$B$5+IF(D76=1,0,IF(C76=1,Summary!$B$6,NA()))+(MATCH(1,E76:L76,0)-1)*Summary!$B$7+(MATCH(1,M76:T76,0)-1)*Summary!$B$8+(MATCH(1,U76:AB76,0)-1)*Summary!$B$9</f>
        <v>39.125</v>
      </c>
      <c r="C76" s="35" t="n">
        <v>0</v>
      </c>
      <c r="D76" s="35" t="n">
        <v>1</v>
      </c>
      <c r="E76" s="35" t="n">
        <v>0</v>
      </c>
      <c r="F76" s="35" t="n">
        <v>1</v>
      </c>
      <c r="G76" s="35" t="n">
        <v>0</v>
      </c>
      <c r="H76" s="35" t="n">
        <v>0</v>
      </c>
      <c r="I76" s="35" t="n">
        <v>0</v>
      </c>
      <c r="J76" s="35" t="n">
        <v>0</v>
      </c>
      <c r="K76" s="35" t="n">
        <v>0</v>
      </c>
      <c r="L76" s="35" t="n">
        <v>0</v>
      </c>
      <c r="M76" s="35" t="n">
        <v>0</v>
      </c>
      <c r="N76" s="35" t="n">
        <v>1</v>
      </c>
      <c r="O76" s="35" t="n">
        <v>0</v>
      </c>
      <c r="P76" s="35" t="n">
        <v>0</v>
      </c>
      <c r="Q76" s="35" t="n">
        <v>0</v>
      </c>
      <c r="R76" s="35" t="n">
        <v>0</v>
      </c>
      <c r="S76" s="35" t="n">
        <v>0</v>
      </c>
      <c r="T76" s="35" t="n">
        <v>0</v>
      </c>
      <c r="U76" s="35" t="n">
        <v>0</v>
      </c>
      <c r="V76" s="35" t="n">
        <v>1</v>
      </c>
      <c r="W76" s="35" t="n">
        <v>0</v>
      </c>
      <c r="X76" s="35" t="n">
        <v>0</v>
      </c>
      <c r="Y76" s="35" t="n">
        <v>0</v>
      </c>
      <c r="Z76" s="35" t="n">
        <v>0</v>
      </c>
      <c r="AA76" s="35" t="n">
        <v>0</v>
      </c>
      <c r="AB76" s="35" t="n">
        <v>0</v>
      </c>
      <c r="AC76" s="33" t="s">
        <v>177</v>
      </c>
      <c r="AD76" s="36" t="n">
        <f aca="false">B76-B75</f>
        <v>0.125</v>
      </c>
    </row>
    <row r="77" customFormat="false" ht="15" hidden="false" customHeight="false" outlineLevel="0" collapsed="false">
      <c r="A77" s="30" t="n">
        <v>74</v>
      </c>
      <c r="B77" s="31" t="n">
        <f aca="false">Summary!$B$5+IF(D77=1,0,IF(C77=1,Summary!$B$6,NA()))+(MATCH(1,E77:L77,0)-1)*Summary!$B$7+(MATCH(1,M77:T77,0)-1)*Summary!$B$8+(MATCH(1,U77:AB77,0)-1)*Summary!$B$9</f>
        <v>39.25</v>
      </c>
      <c r="C77" s="32" t="n">
        <v>0</v>
      </c>
      <c r="D77" s="32" t="n">
        <v>1</v>
      </c>
      <c r="E77" s="32" t="n">
        <v>0</v>
      </c>
      <c r="F77" s="32" t="n">
        <v>1</v>
      </c>
      <c r="G77" s="32" t="n">
        <v>0</v>
      </c>
      <c r="H77" s="32" t="n">
        <v>0</v>
      </c>
      <c r="I77" s="32" t="n">
        <v>0</v>
      </c>
      <c r="J77" s="32" t="n">
        <v>0</v>
      </c>
      <c r="K77" s="32" t="n">
        <v>0</v>
      </c>
      <c r="L77" s="32" t="n">
        <v>0</v>
      </c>
      <c r="M77" s="32" t="n">
        <v>0</v>
      </c>
      <c r="N77" s="32" t="n">
        <v>1</v>
      </c>
      <c r="O77" s="32" t="n">
        <v>0</v>
      </c>
      <c r="P77" s="32" t="n">
        <v>0</v>
      </c>
      <c r="Q77" s="32" t="n">
        <v>0</v>
      </c>
      <c r="R77" s="32" t="n">
        <v>0</v>
      </c>
      <c r="S77" s="32" t="n">
        <v>0</v>
      </c>
      <c r="T77" s="32" t="n">
        <v>0</v>
      </c>
      <c r="U77" s="32" t="n">
        <v>0</v>
      </c>
      <c r="V77" s="32" t="n">
        <v>0</v>
      </c>
      <c r="W77" s="32" t="n">
        <v>1</v>
      </c>
      <c r="X77" s="32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0" t="s">
        <v>178</v>
      </c>
      <c r="AD77" s="37" t="n">
        <f aca="false">B77-B76</f>
        <v>0.125</v>
      </c>
    </row>
    <row r="78" customFormat="false" ht="15" hidden="false" customHeight="false" outlineLevel="0" collapsed="false">
      <c r="A78" s="33" t="n">
        <v>75</v>
      </c>
      <c r="B78" s="34" t="n">
        <f aca="false">Summary!$B$5+IF(D78=1,0,IF(C78=1,Summary!$B$6,NA()))+(MATCH(1,E78:L78,0)-1)*Summary!$B$7+(MATCH(1,M78:T78,0)-1)*Summary!$B$8+(MATCH(1,U78:AB78,0)-1)*Summary!$B$9</f>
        <v>39.375</v>
      </c>
      <c r="C78" s="35" t="n">
        <v>0</v>
      </c>
      <c r="D78" s="35" t="n">
        <v>1</v>
      </c>
      <c r="E78" s="35" t="n">
        <v>0</v>
      </c>
      <c r="F78" s="35" t="n">
        <v>1</v>
      </c>
      <c r="G78" s="35" t="n">
        <v>0</v>
      </c>
      <c r="H78" s="35" t="n">
        <v>0</v>
      </c>
      <c r="I78" s="35" t="n">
        <v>0</v>
      </c>
      <c r="J78" s="35" t="n">
        <v>0</v>
      </c>
      <c r="K78" s="35" t="n">
        <v>0</v>
      </c>
      <c r="L78" s="35" t="n">
        <v>0</v>
      </c>
      <c r="M78" s="35" t="n">
        <v>0</v>
      </c>
      <c r="N78" s="35" t="n">
        <v>1</v>
      </c>
      <c r="O78" s="35" t="n">
        <v>0</v>
      </c>
      <c r="P78" s="35" t="n">
        <v>0</v>
      </c>
      <c r="Q78" s="35" t="n">
        <v>0</v>
      </c>
      <c r="R78" s="35" t="n">
        <v>0</v>
      </c>
      <c r="S78" s="35" t="n">
        <v>0</v>
      </c>
      <c r="T78" s="35" t="n">
        <v>0</v>
      </c>
      <c r="U78" s="35" t="n">
        <v>0</v>
      </c>
      <c r="V78" s="35" t="n">
        <v>0</v>
      </c>
      <c r="W78" s="35" t="n">
        <v>0</v>
      </c>
      <c r="X78" s="35" t="n">
        <v>1</v>
      </c>
      <c r="Y78" s="35" t="n">
        <v>0</v>
      </c>
      <c r="Z78" s="35" t="n">
        <v>0</v>
      </c>
      <c r="AA78" s="35" t="n">
        <v>0</v>
      </c>
      <c r="AB78" s="35" t="n">
        <v>0</v>
      </c>
      <c r="AC78" s="33" t="s">
        <v>179</v>
      </c>
      <c r="AD78" s="36" t="n">
        <f aca="false">B78-B77</f>
        <v>0.125</v>
      </c>
    </row>
    <row r="79" customFormat="false" ht="15" hidden="false" customHeight="false" outlineLevel="0" collapsed="false">
      <c r="A79" s="30" t="n">
        <v>76</v>
      </c>
      <c r="B79" s="31" t="n">
        <f aca="false">Summary!$B$5+IF(D79=1,0,IF(C79=1,Summary!$B$6,NA()))+(MATCH(1,E79:L79,0)-1)*Summary!$B$7+(MATCH(1,M79:T79,0)-1)*Summary!$B$8+(MATCH(1,U79:AB79,0)-1)*Summary!$B$9</f>
        <v>39.5</v>
      </c>
      <c r="C79" s="32" t="n">
        <v>0</v>
      </c>
      <c r="D79" s="32" t="n">
        <v>1</v>
      </c>
      <c r="E79" s="32" t="n">
        <v>0</v>
      </c>
      <c r="F79" s="32" t="n">
        <v>1</v>
      </c>
      <c r="G79" s="32" t="n">
        <v>0</v>
      </c>
      <c r="H79" s="32" t="n">
        <v>0</v>
      </c>
      <c r="I79" s="32" t="n">
        <v>0</v>
      </c>
      <c r="J79" s="32" t="n">
        <v>0</v>
      </c>
      <c r="K79" s="32" t="n">
        <v>0</v>
      </c>
      <c r="L79" s="32" t="n">
        <v>0</v>
      </c>
      <c r="M79" s="32" t="n">
        <v>0</v>
      </c>
      <c r="N79" s="32" t="n">
        <v>1</v>
      </c>
      <c r="O79" s="32" t="n">
        <v>0</v>
      </c>
      <c r="P79" s="32" t="n">
        <v>0</v>
      </c>
      <c r="Q79" s="32" t="n">
        <v>0</v>
      </c>
      <c r="R79" s="32" t="n">
        <v>0</v>
      </c>
      <c r="S79" s="32" t="n">
        <v>0</v>
      </c>
      <c r="T79" s="32" t="n">
        <v>0</v>
      </c>
      <c r="U79" s="32" t="n">
        <v>0</v>
      </c>
      <c r="V79" s="32" t="n">
        <v>0</v>
      </c>
      <c r="W79" s="32" t="n">
        <v>0</v>
      </c>
      <c r="X79" s="32" t="n">
        <v>0</v>
      </c>
      <c r="Y79" s="32" t="n">
        <v>1</v>
      </c>
      <c r="Z79" s="32" t="n">
        <v>0</v>
      </c>
      <c r="AA79" s="32" t="n">
        <v>0</v>
      </c>
      <c r="AB79" s="32" t="n">
        <v>0</v>
      </c>
      <c r="AC79" s="30" t="s">
        <v>180</v>
      </c>
      <c r="AD79" s="37" t="n">
        <f aca="false">B79-B78</f>
        <v>0.125</v>
      </c>
    </row>
    <row r="80" customFormat="false" ht="15" hidden="false" customHeight="false" outlineLevel="0" collapsed="false">
      <c r="A80" s="33" t="n">
        <v>77</v>
      </c>
      <c r="B80" s="34" t="n">
        <f aca="false">Summary!$B$5+IF(D80=1,0,IF(C80=1,Summary!$B$6,NA()))+(MATCH(1,E80:L80,0)-1)*Summary!$B$7+(MATCH(1,M80:T80,0)-1)*Summary!$B$8+(MATCH(1,U80:AB80,0)-1)*Summary!$B$9</f>
        <v>39.625</v>
      </c>
      <c r="C80" s="35" t="n">
        <v>0</v>
      </c>
      <c r="D80" s="35" t="n">
        <v>1</v>
      </c>
      <c r="E80" s="35" t="n">
        <v>0</v>
      </c>
      <c r="F80" s="35" t="n">
        <v>1</v>
      </c>
      <c r="G80" s="35" t="n">
        <v>0</v>
      </c>
      <c r="H80" s="35" t="n">
        <v>0</v>
      </c>
      <c r="I80" s="35" t="n">
        <v>0</v>
      </c>
      <c r="J80" s="35" t="n">
        <v>0</v>
      </c>
      <c r="K80" s="35" t="n">
        <v>0</v>
      </c>
      <c r="L80" s="35" t="n">
        <v>0</v>
      </c>
      <c r="M80" s="35" t="n">
        <v>0</v>
      </c>
      <c r="N80" s="35" t="n">
        <v>1</v>
      </c>
      <c r="O80" s="35" t="n">
        <v>0</v>
      </c>
      <c r="P80" s="35" t="n">
        <v>0</v>
      </c>
      <c r="Q80" s="35" t="n">
        <v>0</v>
      </c>
      <c r="R80" s="35" t="n">
        <v>0</v>
      </c>
      <c r="S80" s="35" t="n">
        <v>0</v>
      </c>
      <c r="T80" s="35" t="n">
        <v>0</v>
      </c>
      <c r="U80" s="35" t="n">
        <v>0</v>
      </c>
      <c r="V80" s="35" t="n">
        <v>0</v>
      </c>
      <c r="W80" s="35" t="n">
        <v>0</v>
      </c>
      <c r="X80" s="35" t="n">
        <v>0</v>
      </c>
      <c r="Y80" s="35" t="n">
        <v>0</v>
      </c>
      <c r="Z80" s="35" t="n">
        <v>1</v>
      </c>
      <c r="AA80" s="35" t="n">
        <v>0</v>
      </c>
      <c r="AB80" s="35" t="n">
        <v>0</v>
      </c>
      <c r="AC80" s="33" t="s">
        <v>181</v>
      </c>
      <c r="AD80" s="36" t="n">
        <f aca="false">B80-B79</f>
        <v>0.125</v>
      </c>
    </row>
    <row r="81" customFormat="false" ht="15" hidden="false" customHeight="false" outlineLevel="0" collapsed="false">
      <c r="A81" s="30" t="n">
        <v>78</v>
      </c>
      <c r="B81" s="31" t="n">
        <f aca="false">Summary!$B$5+IF(D81=1,0,IF(C81=1,Summary!$B$6,NA()))+(MATCH(1,E81:L81,0)-1)*Summary!$B$7+(MATCH(1,M81:T81,0)-1)*Summary!$B$8+(MATCH(1,U81:AB81,0)-1)*Summary!$B$9</f>
        <v>39.75</v>
      </c>
      <c r="C81" s="32" t="n">
        <v>0</v>
      </c>
      <c r="D81" s="32" t="n">
        <v>1</v>
      </c>
      <c r="E81" s="32" t="n">
        <v>0</v>
      </c>
      <c r="F81" s="32" t="n">
        <v>1</v>
      </c>
      <c r="G81" s="32" t="n">
        <v>0</v>
      </c>
      <c r="H81" s="32" t="n">
        <v>0</v>
      </c>
      <c r="I81" s="32" t="n">
        <v>0</v>
      </c>
      <c r="J81" s="32" t="n">
        <v>0</v>
      </c>
      <c r="K81" s="32" t="n">
        <v>0</v>
      </c>
      <c r="L81" s="32" t="n">
        <v>0</v>
      </c>
      <c r="M81" s="32" t="n">
        <v>0</v>
      </c>
      <c r="N81" s="32" t="n">
        <v>1</v>
      </c>
      <c r="O81" s="32" t="n">
        <v>0</v>
      </c>
      <c r="P81" s="32" t="n">
        <v>0</v>
      </c>
      <c r="Q81" s="32" t="n">
        <v>0</v>
      </c>
      <c r="R81" s="32" t="n">
        <v>0</v>
      </c>
      <c r="S81" s="32" t="n">
        <v>0</v>
      </c>
      <c r="T81" s="32" t="n">
        <v>0</v>
      </c>
      <c r="U81" s="32" t="n">
        <v>0</v>
      </c>
      <c r="V81" s="32" t="n">
        <v>0</v>
      </c>
      <c r="W81" s="32" t="n">
        <v>0</v>
      </c>
      <c r="X81" s="32" t="n">
        <v>0</v>
      </c>
      <c r="Y81" s="32" t="n">
        <v>0</v>
      </c>
      <c r="Z81" s="32" t="n">
        <v>0</v>
      </c>
      <c r="AA81" s="32" t="n">
        <v>1</v>
      </c>
      <c r="AB81" s="32" t="n">
        <v>0</v>
      </c>
      <c r="AC81" s="30" t="s">
        <v>182</v>
      </c>
      <c r="AD81" s="37" t="n">
        <f aca="false">B81-B80</f>
        <v>0.125</v>
      </c>
    </row>
    <row r="82" customFormat="false" ht="15" hidden="false" customHeight="false" outlineLevel="0" collapsed="false">
      <c r="A82" s="33" t="n">
        <v>79</v>
      </c>
      <c r="B82" s="34" t="n">
        <f aca="false">Summary!$B$5+IF(D82=1,0,IF(C82=1,Summary!$B$6,NA()))+(MATCH(1,E82:L82,0)-1)*Summary!$B$7+(MATCH(1,M82:T82,0)-1)*Summary!$B$8+(MATCH(1,U82:AB82,0)-1)*Summary!$B$9</f>
        <v>39.875</v>
      </c>
      <c r="C82" s="35" t="n">
        <v>0</v>
      </c>
      <c r="D82" s="35" t="n">
        <v>1</v>
      </c>
      <c r="E82" s="35" t="n">
        <v>0</v>
      </c>
      <c r="F82" s="35" t="n">
        <v>1</v>
      </c>
      <c r="G82" s="35" t="n">
        <v>0</v>
      </c>
      <c r="H82" s="35" t="n">
        <v>0</v>
      </c>
      <c r="I82" s="35" t="n">
        <v>0</v>
      </c>
      <c r="J82" s="35" t="n">
        <v>0</v>
      </c>
      <c r="K82" s="35" t="n">
        <v>0</v>
      </c>
      <c r="L82" s="35" t="n">
        <v>0</v>
      </c>
      <c r="M82" s="35" t="n">
        <v>0</v>
      </c>
      <c r="N82" s="35" t="n">
        <v>1</v>
      </c>
      <c r="O82" s="35" t="n">
        <v>0</v>
      </c>
      <c r="P82" s="35" t="n">
        <v>0</v>
      </c>
      <c r="Q82" s="35" t="n">
        <v>0</v>
      </c>
      <c r="R82" s="35" t="n">
        <v>0</v>
      </c>
      <c r="S82" s="35" t="n">
        <v>0</v>
      </c>
      <c r="T82" s="35" t="n">
        <v>0</v>
      </c>
      <c r="U82" s="35" t="n">
        <v>0</v>
      </c>
      <c r="V82" s="35" t="n">
        <v>0</v>
      </c>
      <c r="W82" s="35" t="n">
        <v>0</v>
      </c>
      <c r="X82" s="35" t="n">
        <v>0</v>
      </c>
      <c r="Y82" s="35" t="n">
        <v>0</v>
      </c>
      <c r="Z82" s="35" t="n">
        <v>0</v>
      </c>
      <c r="AA82" s="35" t="n">
        <v>0</v>
      </c>
      <c r="AB82" s="35" t="n">
        <v>1</v>
      </c>
      <c r="AC82" s="33" t="s">
        <v>183</v>
      </c>
      <c r="AD82" s="36" t="n">
        <f aca="false">B82-B81</f>
        <v>0.125</v>
      </c>
    </row>
    <row r="83" customFormat="false" ht="15" hidden="false" customHeight="false" outlineLevel="0" collapsed="false">
      <c r="A83" s="30" t="n">
        <v>80</v>
      </c>
      <c r="B83" s="31" t="n">
        <f aca="false">Summary!$B$5+IF(D83=1,0,IF(C83=1,Summary!$B$6,NA()))+(MATCH(1,E83:L83,0)-1)*Summary!$B$7+(MATCH(1,M83:T83,0)-1)*Summary!$B$8+(MATCH(1,U83:AB83,0)-1)*Summary!$B$9</f>
        <v>40</v>
      </c>
      <c r="C83" s="32" t="n">
        <v>0</v>
      </c>
      <c r="D83" s="32" t="n">
        <v>1</v>
      </c>
      <c r="E83" s="32" t="n">
        <v>0</v>
      </c>
      <c r="F83" s="32" t="n">
        <v>1</v>
      </c>
      <c r="G83" s="32" t="n">
        <v>0</v>
      </c>
      <c r="H83" s="32" t="n">
        <v>0</v>
      </c>
      <c r="I83" s="32" t="n">
        <v>0</v>
      </c>
      <c r="J83" s="32" t="n">
        <v>0</v>
      </c>
      <c r="K83" s="32" t="n">
        <v>0</v>
      </c>
      <c r="L83" s="32" t="n">
        <v>0</v>
      </c>
      <c r="M83" s="32" t="n">
        <v>0</v>
      </c>
      <c r="N83" s="32" t="n">
        <v>0</v>
      </c>
      <c r="O83" s="32" t="n">
        <v>1</v>
      </c>
      <c r="P83" s="32" t="n">
        <v>0</v>
      </c>
      <c r="Q83" s="32" t="n">
        <v>0</v>
      </c>
      <c r="R83" s="32" t="n">
        <v>0</v>
      </c>
      <c r="S83" s="32" t="n">
        <v>0</v>
      </c>
      <c r="T83" s="32" t="n">
        <v>0</v>
      </c>
      <c r="U83" s="32" t="n">
        <v>1</v>
      </c>
      <c r="V83" s="32" t="n">
        <v>0</v>
      </c>
      <c r="W83" s="32" t="n">
        <v>0</v>
      </c>
      <c r="X83" s="32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0" t="s">
        <v>184</v>
      </c>
      <c r="AD83" s="37" t="n">
        <f aca="false">B83-B82</f>
        <v>0.125</v>
      </c>
    </row>
    <row r="84" customFormat="false" ht="15" hidden="false" customHeight="false" outlineLevel="0" collapsed="false">
      <c r="A84" s="33" t="n">
        <v>81</v>
      </c>
      <c r="B84" s="34" t="n">
        <f aca="false">Summary!$B$5+IF(D84=1,0,IF(C84=1,Summary!$B$6,NA()))+(MATCH(1,E84:L84,0)-1)*Summary!$B$7+(MATCH(1,M84:T84,0)-1)*Summary!$B$8+(MATCH(1,U84:AB84,0)-1)*Summary!$B$9</f>
        <v>40.125</v>
      </c>
      <c r="C84" s="35" t="n">
        <v>0</v>
      </c>
      <c r="D84" s="35" t="n">
        <v>1</v>
      </c>
      <c r="E84" s="35" t="n">
        <v>0</v>
      </c>
      <c r="F84" s="35" t="n">
        <v>1</v>
      </c>
      <c r="G84" s="35" t="n">
        <v>0</v>
      </c>
      <c r="H84" s="35" t="n">
        <v>0</v>
      </c>
      <c r="I84" s="35" t="n">
        <v>0</v>
      </c>
      <c r="J84" s="35" t="n">
        <v>0</v>
      </c>
      <c r="K84" s="35" t="n">
        <v>0</v>
      </c>
      <c r="L84" s="35" t="n">
        <v>0</v>
      </c>
      <c r="M84" s="35" t="n">
        <v>0</v>
      </c>
      <c r="N84" s="35" t="n">
        <v>0</v>
      </c>
      <c r="O84" s="35" t="n">
        <v>1</v>
      </c>
      <c r="P84" s="35" t="n">
        <v>0</v>
      </c>
      <c r="Q84" s="35" t="n">
        <v>0</v>
      </c>
      <c r="R84" s="35" t="n">
        <v>0</v>
      </c>
      <c r="S84" s="35" t="n">
        <v>0</v>
      </c>
      <c r="T84" s="35" t="n">
        <v>0</v>
      </c>
      <c r="U84" s="35" t="n">
        <v>0</v>
      </c>
      <c r="V84" s="35" t="n">
        <v>1</v>
      </c>
      <c r="W84" s="35" t="n">
        <v>0</v>
      </c>
      <c r="X84" s="35" t="n">
        <v>0</v>
      </c>
      <c r="Y84" s="35" t="n">
        <v>0</v>
      </c>
      <c r="Z84" s="35" t="n">
        <v>0</v>
      </c>
      <c r="AA84" s="35" t="n">
        <v>0</v>
      </c>
      <c r="AB84" s="35" t="n">
        <v>0</v>
      </c>
      <c r="AC84" s="33" t="s">
        <v>185</v>
      </c>
      <c r="AD84" s="36" t="n">
        <f aca="false">B84-B83</f>
        <v>0.125</v>
      </c>
    </row>
    <row r="85" customFormat="false" ht="15" hidden="false" customHeight="false" outlineLevel="0" collapsed="false">
      <c r="A85" s="30" t="n">
        <v>82</v>
      </c>
      <c r="B85" s="31" t="n">
        <f aca="false">Summary!$B$5+IF(D85=1,0,IF(C85=1,Summary!$B$6,NA()))+(MATCH(1,E85:L85,0)-1)*Summary!$B$7+(MATCH(1,M85:T85,0)-1)*Summary!$B$8+(MATCH(1,U85:AB85,0)-1)*Summary!$B$9</f>
        <v>40.25</v>
      </c>
      <c r="C85" s="32" t="n">
        <v>0</v>
      </c>
      <c r="D85" s="32" t="n">
        <v>1</v>
      </c>
      <c r="E85" s="32" t="n">
        <v>0</v>
      </c>
      <c r="F85" s="32" t="n">
        <v>1</v>
      </c>
      <c r="G85" s="32" t="n">
        <v>0</v>
      </c>
      <c r="H85" s="32" t="n">
        <v>0</v>
      </c>
      <c r="I85" s="32" t="n">
        <v>0</v>
      </c>
      <c r="J85" s="32" t="n">
        <v>0</v>
      </c>
      <c r="K85" s="32" t="n">
        <v>0</v>
      </c>
      <c r="L85" s="32" t="n">
        <v>0</v>
      </c>
      <c r="M85" s="32" t="n">
        <v>0</v>
      </c>
      <c r="N85" s="32" t="n">
        <v>0</v>
      </c>
      <c r="O85" s="32" t="n">
        <v>1</v>
      </c>
      <c r="P85" s="32" t="n">
        <v>0</v>
      </c>
      <c r="Q85" s="32" t="n">
        <v>0</v>
      </c>
      <c r="R85" s="32" t="n">
        <v>0</v>
      </c>
      <c r="S85" s="32" t="n">
        <v>0</v>
      </c>
      <c r="T85" s="32" t="n">
        <v>0</v>
      </c>
      <c r="U85" s="32" t="n">
        <v>0</v>
      </c>
      <c r="V85" s="32" t="n">
        <v>0</v>
      </c>
      <c r="W85" s="32" t="n">
        <v>1</v>
      </c>
      <c r="X85" s="32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0" t="s">
        <v>186</v>
      </c>
      <c r="AD85" s="37" t="n">
        <f aca="false">B85-B84</f>
        <v>0.125</v>
      </c>
    </row>
    <row r="86" customFormat="false" ht="15" hidden="false" customHeight="false" outlineLevel="0" collapsed="false">
      <c r="A86" s="33" t="n">
        <v>83</v>
      </c>
      <c r="B86" s="34" t="n">
        <f aca="false">Summary!$B$5+IF(D86=1,0,IF(C86=1,Summary!$B$6,NA()))+(MATCH(1,E86:L86,0)-1)*Summary!$B$7+(MATCH(1,M86:T86,0)-1)*Summary!$B$8+(MATCH(1,U86:AB86,0)-1)*Summary!$B$9</f>
        <v>40.375</v>
      </c>
      <c r="C86" s="35" t="n">
        <v>0</v>
      </c>
      <c r="D86" s="35" t="n">
        <v>1</v>
      </c>
      <c r="E86" s="35" t="n">
        <v>0</v>
      </c>
      <c r="F86" s="35" t="n">
        <v>1</v>
      </c>
      <c r="G86" s="35" t="n">
        <v>0</v>
      </c>
      <c r="H86" s="35" t="n">
        <v>0</v>
      </c>
      <c r="I86" s="35" t="n">
        <v>0</v>
      </c>
      <c r="J86" s="35" t="n">
        <v>0</v>
      </c>
      <c r="K86" s="35" t="n">
        <v>0</v>
      </c>
      <c r="L86" s="35" t="n">
        <v>0</v>
      </c>
      <c r="M86" s="35" t="n">
        <v>0</v>
      </c>
      <c r="N86" s="35" t="n">
        <v>0</v>
      </c>
      <c r="O86" s="35" t="n">
        <v>1</v>
      </c>
      <c r="P86" s="35" t="n">
        <v>0</v>
      </c>
      <c r="Q86" s="35" t="n">
        <v>0</v>
      </c>
      <c r="R86" s="35" t="n">
        <v>0</v>
      </c>
      <c r="S86" s="35" t="n">
        <v>0</v>
      </c>
      <c r="T86" s="35" t="n">
        <v>0</v>
      </c>
      <c r="U86" s="35" t="n">
        <v>0</v>
      </c>
      <c r="V86" s="35" t="n">
        <v>0</v>
      </c>
      <c r="W86" s="35" t="n">
        <v>0</v>
      </c>
      <c r="X86" s="35" t="n">
        <v>1</v>
      </c>
      <c r="Y86" s="35" t="n">
        <v>0</v>
      </c>
      <c r="Z86" s="35" t="n">
        <v>0</v>
      </c>
      <c r="AA86" s="35" t="n">
        <v>0</v>
      </c>
      <c r="AB86" s="35" t="n">
        <v>0</v>
      </c>
      <c r="AC86" s="33" t="s">
        <v>187</v>
      </c>
      <c r="AD86" s="36" t="n">
        <f aca="false">B86-B85</f>
        <v>0.125</v>
      </c>
    </row>
    <row r="87" customFormat="false" ht="15" hidden="false" customHeight="false" outlineLevel="0" collapsed="false">
      <c r="A87" s="30" t="n">
        <v>84</v>
      </c>
      <c r="B87" s="31" t="n">
        <f aca="false">Summary!$B$5+IF(D87=1,0,IF(C87=1,Summary!$B$6,NA()))+(MATCH(1,E87:L87,0)-1)*Summary!$B$7+(MATCH(1,M87:T87,0)-1)*Summary!$B$8+(MATCH(1,U87:AB87,0)-1)*Summary!$B$9</f>
        <v>40.5</v>
      </c>
      <c r="C87" s="32" t="n">
        <v>0</v>
      </c>
      <c r="D87" s="32" t="n">
        <v>1</v>
      </c>
      <c r="E87" s="32" t="n">
        <v>0</v>
      </c>
      <c r="F87" s="32" t="n">
        <v>1</v>
      </c>
      <c r="G87" s="32" t="n">
        <v>0</v>
      </c>
      <c r="H87" s="32" t="n">
        <v>0</v>
      </c>
      <c r="I87" s="32" t="n">
        <v>0</v>
      </c>
      <c r="J87" s="32" t="n">
        <v>0</v>
      </c>
      <c r="K87" s="32" t="n">
        <v>0</v>
      </c>
      <c r="L87" s="32" t="n">
        <v>0</v>
      </c>
      <c r="M87" s="32" t="n">
        <v>0</v>
      </c>
      <c r="N87" s="32" t="n">
        <v>0</v>
      </c>
      <c r="O87" s="32" t="n">
        <v>1</v>
      </c>
      <c r="P87" s="32" t="n">
        <v>0</v>
      </c>
      <c r="Q87" s="32" t="n">
        <v>0</v>
      </c>
      <c r="R87" s="32" t="n">
        <v>0</v>
      </c>
      <c r="S87" s="32" t="n">
        <v>0</v>
      </c>
      <c r="T87" s="32" t="n">
        <v>0</v>
      </c>
      <c r="U87" s="32" t="n">
        <v>0</v>
      </c>
      <c r="V87" s="32" t="n">
        <v>0</v>
      </c>
      <c r="W87" s="32" t="n">
        <v>0</v>
      </c>
      <c r="X87" s="32" t="n">
        <v>0</v>
      </c>
      <c r="Y87" s="32" t="n">
        <v>1</v>
      </c>
      <c r="Z87" s="32" t="n">
        <v>0</v>
      </c>
      <c r="AA87" s="32" t="n">
        <v>0</v>
      </c>
      <c r="AB87" s="32" t="n">
        <v>0</v>
      </c>
      <c r="AC87" s="30" t="s">
        <v>188</v>
      </c>
      <c r="AD87" s="37" t="n">
        <f aca="false">B87-B86</f>
        <v>0.125</v>
      </c>
    </row>
    <row r="88" customFormat="false" ht="15" hidden="false" customHeight="false" outlineLevel="0" collapsed="false">
      <c r="A88" s="33" t="n">
        <v>85</v>
      </c>
      <c r="B88" s="34" t="n">
        <f aca="false">Summary!$B$5+IF(D88=1,0,IF(C88=1,Summary!$B$6,NA()))+(MATCH(1,E88:L88,0)-1)*Summary!$B$7+(MATCH(1,M88:T88,0)-1)*Summary!$B$8+(MATCH(1,U88:AB88,0)-1)*Summary!$B$9</f>
        <v>40.625</v>
      </c>
      <c r="C88" s="35" t="n">
        <v>0</v>
      </c>
      <c r="D88" s="35" t="n">
        <v>1</v>
      </c>
      <c r="E88" s="35" t="n">
        <v>0</v>
      </c>
      <c r="F88" s="35" t="n">
        <v>1</v>
      </c>
      <c r="G88" s="35" t="n">
        <v>0</v>
      </c>
      <c r="H88" s="35" t="n">
        <v>0</v>
      </c>
      <c r="I88" s="35" t="n">
        <v>0</v>
      </c>
      <c r="J88" s="35" t="n">
        <v>0</v>
      </c>
      <c r="K88" s="35" t="n">
        <v>0</v>
      </c>
      <c r="L88" s="35" t="n">
        <v>0</v>
      </c>
      <c r="M88" s="35" t="n">
        <v>0</v>
      </c>
      <c r="N88" s="35" t="n">
        <v>0</v>
      </c>
      <c r="O88" s="35" t="n">
        <v>1</v>
      </c>
      <c r="P88" s="35" t="n">
        <v>0</v>
      </c>
      <c r="Q88" s="35" t="n">
        <v>0</v>
      </c>
      <c r="R88" s="35" t="n">
        <v>0</v>
      </c>
      <c r="S88" s="35" t="n">
        <v>0</v>
      </c>
      <c r="T88" s="35" t="n">
        <v>0</v>
      </c>
      <c r="U88" s="35" t="n">
        <v>0</v>
      </c>
      <c r="V88" s="35" t="n">
        <v>0</v>
      </c>
      <c r="W88" s="35" t="n">
        <v>0</v>
      </c>
      <c r="X88" s="35" t="n">
        <v>0</v>
      </c>
      <c r="Y88" s="35" t="n">
        <v>0</v>
      </c>
      <c r="Z88" s="35" t="n">
        <v>1</v>
      </c>
      <c r="AA88" s="35" t="n">
        <v>0</v>
      </c>
      <c r="AB88" s="35" t="n">
        <v>0</v>
      </c>
      <c r="AC88" s="33" t="s">
        <v>189</v>
      </c>
      <c r="AD88" s="36" t="n">
        <f aca="false">B88-B87</f>
        <v>0.125</v>
      </c>
    </row>
    <row r="89" customFormat="false" ht="15" hidden="false" customHeight="false" outlineLevel="0" collapsed="false">
      <c r="A89" s="30" t="n">
        <v>86</v>
      </c>
      <c r="B89" s="31" t="n">
        <f aca="false">Summary!$B$5+IF(D89=1,0,IF(C89=1,Summary!$B$6,NA()))+(MATCH(1,E89:L89,0)-1)*Summary!$B$7+(MATCH(1,M89:T89,0)-1)*Summary!$B$8+(MATCH(1,U89:AB89,0)-1)*Summary!$B$9</f>
        <v>40.75</v>
      </c>
      <c r="C89" s="32" t="n">
        <v>0</v>
      </c>
      <c r="D89" s="32" t="n">
        <v>1</v>
      </c>
      <c r="E89" s="32" t="n">
        <v>0</v>
      </c>
      <c r="F89" s="32" t="n">
        <v>1</v>
      </c>
      <c r="G89" s="32" t="n">
        <v>0</v>
      </c>
      <c r="H89" s="32" t="n">
        <v>0</v>
      </c>
      <c r="I89" s="32" t="n">
        <v>0</v>
      </c>
      <c r="J89" s="32" t="n">
        <v>0</v>
      </c>
      <c r="K89" s="32" t="n">
        <v>0</v>
      </c>
      <c r="L89" s="32" t="n">
        <v>0</v>
      </c>
      <c r="M89" s="32" t="n">
        <v>0</v>
      </c>
      <c r="N89" s="32" t="n">
        <v>0</v>
      </c>
      <c r="O89" s="32" t="n">
        <v>1</v>
      </c>
      <c r="P89" s="32" t="n">
        <v>0</v>
      </c>
      <c r="Q89" s="32" t="n">
        <v>0</v>
      </c>
      <c r="R89" s="32" t="n">
        <v>0</v>
      </c>
      <c r="S89" s="32" t="n">
        <v>0</v>
      </c>
      <c r="T89" s="32" t="n">
        <v>0</v>
      </c>
      <c r="U89" s="32" t="n">
        <v>0</v>
      </c>
      <c r="V89" s="32" t="n">
        <v>0</v>
      </c>
      <c r="W89" s="32" t="n">
        <v>0</v>
      </c>
      <c r="X89" s="32" t="n">
        <v>0</v>
      </c>
      <c r="Y89" s="32" t="n">
        <v>0</v>
      </c>
      <c r="Z89" s="32" t="n">
        <v>0</v>
      </c>
      <c r="AA89" s="32" t="n">
        <v>1</v>
      </c>
      <c r="AB89" s="32" t="n">
        <v>0</v>
      </c>
      <c r="AC89" s="30" t="s">
        <v>190</v>
      </c>
      <c r="AD89" s="37" t="n">
        <f aca="false">B89-B88</f>
        <v>0.125</v>
      </c>
    </row>
    <row r="90" customFormat="false" ht="15" hidden="false" customHeight="false" outlineLevel="0" collapsed="false">
      <c r="A90" s="33" t="n">
        <v>87</v>
      </c>
      <c r="B90" s="34" t="n">
        <f aca="false">Summary!$B$5+IF(D90=1,0,IF(C90=1,Summary!$B$6,NA()))+(MATCH(1,E90:L90,0)-1)*Summary!$B$7+(MATCH(1,M90:T90,0)-1)*Summary!$B$8+(MATCH(1,U90:AB90,0)-1)*Summary!$B$9</f>
        <v>40.875</v>
      </c>
      <c r="C90" s="35" t="n">
        <v>0</v>
      </c>
      <c r="D90" s="35" t="n">
        <v>1</v>
      </c>
      <c r="E90" s="35" t="n">
        <v>0</v>
      </c>
      <c r="F90" s="35" t="n">
        <v>1</v>
      </c>
      <c r="G90" s="35" t="n">
        <v>0</v>
      </c>
      <c r="H90" s="35" t="n">
        <v>0</v>
      </c>
      <c r="I90" s="35" t="n">
        <v>0</v>
      </c>
      <c r="J90" s="35" t="n">
        <v>0</v>
      </c>
      <c r="K90" s="35" t="n">
        <v>0</v>
      </c>
      <c r="L90" s="35" t="n">
        <v>0</v>
      </c>
      <c r="M90" s="35" t="n">
        <v>0</v>
      </c>
      <c r="N90" s="35" t="n">
        <v>0</v>
      </c>
      <c r="O90" s="35" t="n">
        <v>1</v>
      </c>
      <c r="P90" s="35" t="n">
        <v>0</v>
      </c>
      <c r="Q90" s="35" t="n">
        <v>0</v>
      </c>
      <c r="R90" s="35" t="n">
        <v>0</v>
      </c>
      <c r="S90" s="35" t="n">
        <v>0</v>
      </c>
      <c r="T90" s="35" t="n">
        <v>0</v>
      </c>
      <c r="U90" s="35" t="n">
        <v>0</v>
      </c>
      <c r="V90" s="35" t="n">
        <v>0</v>
      </c>
      <c r="W90" s="35" t="n">
        <v>0</v>
      </c>
      <c r="X90" s="35" t="n">
        <v>0</v>
      </c>
      <c r="Y90" s="35" t="n">
        <v>0</v>
      </c>
      <c r="Z90" s="35" t="n">
        <v>0</v>
      </c>
      <c r="AA90" s="35" t="n">
        <v>0</v>
      </c>
      <c r="AB90" s="35" t="n">
        <v>1</v>
      </c>
      <c r="AC90" s="33" t="s">
        <v>191</v>
      </c>
      <c r="AD90" s="36" t="n">
        <f aca="false">B90-B89</f>
        <v>0.125</v>
      </c>
    </row>
    <row r="91" customFormat="false" ht="15" hidden="false" customHeight="false" outlineLevel="0" collapsed="false">
      <c r="A91" s="30" t="n">
        <v>88</v>
      </c>
      <c r="B91" s="31" t="n">
        <f aca="false">Summary!$B$5+IF(D91=1,0,IF(C91=1,Summary!$B$6,NA()))+(MATCH(1,E91:L91,0)-1)*Summary!$B$7+(MATCH(1,M91:T91,0)-1)*Summary!$B$8+(MATCH(1,U91:AB91,0)-1)*Summary!$B$9</f>
        <v>41</v>
      </c>
      <c r="C91" s="32" t="n">
        <v>0</v>
      </c>
      <c r="D91" s="32" t="n">
        <v>1</v>
      </c>
      <c r="E91" s="32" t="n">
        <v>0</v>
      </c>
      <c r="F91" s="32" t="n">
        <v>1</v>
      </c>
      <c r="G91" s="32" t="n">
        <v>0</v>
      </c>
      <c r="H91" s="32" t="n">
        <v>0</v>
      </c>
      <c r="I91" s="32" t="n">
        <v>0</v>
      </c>
      <c r="J91" s="32" t="n">
        <v>0</v>
      </c>
      <c r="K91" s="32" t="n">
        <v>0</v>
      </c>
      <c r="L91" s="32" t="n">
        <v>0</v>
      </c>
      <c r="M91" s="32" t="n">
        <v>0</v>
      </c>
      <c r="N91" s="32" t="n">
        <v>0</v>
      </c>
      <c r="O91" s="32" t="n">
        <v>0</v>
      </c>
      <c r="P91" s="32" t="n">
        <v>1</v>
      </c>
      <c r="Q91" s="32" t="n">
        <v>0</v>
      </c>
      <c r="R91" s="32" t="n">
        <v>0</v>
      </c>
      <c r="S91" s="32" t="n">
        <v>0</v>
      </c>
      <c r="T91" s="32" t="n">
        <v>0</v>
      </c>
      <c r="U91" s="32" t="n">
        <v>1</v>
      </c>
      <c r="V91" s="32" t="n">
        <v>0</v>
      </c>
      <c r="W91" s="32" t="n">
        <v>0</v>
      </c>
      <c r="X91" s="32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0" t="s">
        <v>192</v>
      </c>
      <c r="AD91" s="37" t="n">
        <f aca="false">B91-B90</f>
        <v>0.125</v>
      </c>
    </row>
    <row r="92" customFormat="false" ht="15" hidden="false" customHeight="false" outlineLevel="0" collapsed="false">
      <c r="A92" s="33" t="n">
        <v>89</v>
      </c>
      <c r="B92" s="34" t="n">
        <f aca="false">Summary!$B$5+IF(D92=1,0,IF(C92=1,Summary!$B$6,NA()))+(MATCH(1,E92:L92,0)-1)*Summary!$B$7+(MATCH(1,M92:T92,0)-1)*Summary!$B$8+(MATCH(1,U92:AB92,0)-1)*Summary!$B$9</f>
        <v>41.125</v>
      </c>
      <c r="C92" s="35" t="n">
        <v>0</v>
      </c>
      <c r="D92" s="35" t="n">
        <v>1</v>
      </c>
      <c r="E92" s="35" t="n">
        <v>0</v>
      </c>
      <c r="F92" s="35" t="n">
        <v>1</v>
      </c>
      <c r="G92" s="35" t="n">
        <v>0</v>
      </c>
      <c r="H92" s="35" t="n">
        <v>0</v>
      </c>
      <c r="I92" s="35" t="n">
        <v>0</v>
      </c>
      <c r="J92" s="35" t="n">
        <v>0</v>
      </c>
      <c r="K92" s="35" t="n">
        <v>0</v>
      </c>
      <c r="L92" s="35" t="n">
        <v>0</v>
      </c>
      <c r="M92" s="35" t="n">
        <v>0</v>
      </c>
      <c r="N92" s="35" t="n">
        <v>0</v>
      </c>
      <c r="O92" s="35" t="n">
        <v>0</v>
      </c>
      <c r="P92" s="35" t="n">
        <v>1</v>
      </c>
      <c r="Q92" s="35" t="n">
        <v>0</v>
      </c>
      <c r="R92" s="35" t="n">
        <v>0</v>
      </c>
      <c r="S92" s="35" t="n">
        <v>0</v>
      </c>
      <c r="T92" s="35" t="n">
        <v>0</v>
      </c>
      <c r="U92" s="35" t="n">
        <v>0</v>
      </c>
      <c r="V92" s="35" t="n">
        <v>1</v>
      </c>
      <c r="W92" s="35" t="n">
        <v>0</v>
      </c>
      <c r="X92" s="35" t="n">
        <v>0</v>
      </c>
      <c r="Y92" s="35" t="n">
        <v>0</v>
      </c>
      <c r="Z92" s="35" t="n">
        <v>0</v>
      </c>
      <c r="AA92" s="35" t="n">
        <v>0</v>
      </c>
      <c r="AB92" s="35" t="n">
        <v>0</v>
      </c>
      <c r="AC92" s="33" t="s">
        <v>193</v>
      </c>
      <c r="AD92" s="36" t="n">
        <f aca="false">B92-B91</f>
        <v>0.125</v>
      </c>
    </row>
    <row r="93" customFormat="false" ht="15" hidden="false" customHeight="false" outlineLevel="0" collapsed="false">
      <c r="A93" s="30" t="n">
        <v>90</v>
      </c>
      <c r="B93" s="31" t="n">
        <f aca="false">Summary!$B$5+IF(D93=1,0,IF(C93=1,Summary!$B$6,NA()))+(MATCH(1,E93:L93,0)-1)*Summary!$B$7+(MATCH(1,M93:T93,0)-1)*Summary!$B$8+(MATCH(1,U93:AB93,0)-1)*Summary!$B$9</f>
        <v>41.25</v>
      </c>
      <c r="C93" s="32" t="n">
        <v>0</v>
      </c>
      <c r="D93" s="32" t="n">
        <v>1</v>
      </c>
      <c r="E93" s="32" t="n">
        <v>0</v>
      </c>
      <c r="F93" s="32" t="n">
        <v>1</v>
      </c>
      <c r="G93" s="32" t="n">
        <v>0</v>
      </c>
      <c r="H93" s="32" t="n">
        <v>0</v>
      </c>
      <c r="I93" s="32" t="n">
        <v>0</v>
      </c>
      <c r="J93" s="32" t="n">
        <v>0</v>
      </c>
      <c r="K93" s="32" t="n">
        <v>0</v>
      </c>
      <c r="L93" s="32" t="n">
        <v>0</v>
      </c>
      <c r="M93" s="32" t="n">
        <v>0</v>
      </c>
      <c r="N93" s="32" t="n">
        <v>0</v>
      </c>
      <c r="O93" s="32" t="n">
        <v>0</v>
      </c>
      <c r="P93" s="32" t="n">
        <v>1</v>
      </c>
      <c r="Q93" s="32" t="n">
        <v>0</v>
      </c>
      <c r="R93" s="32" t="n">
        <v>0</v>
      </c>
      <c r="S93" s="32" t="n">
        <v>0</v>
      </c>
      <c r="T93" s="32" t="n">
        <v>0</v>
      </c>
      <c r="U93" s="32" t="n">
        <v>0</v>
      </c>
      <c r="V93" s="32" t="n">
        <v>0</v>
      </c>
      <c r="W93" s="32" t="n">
        <v>1</v>
      </c>
      <c r="X93" s="32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0" t="s">
        <v>194</v>
      </c>
      <c r="AD93" s="37" t="n">
        <f aca="false">B93-B92</f>
        <v>0.125</v>
      </c>
    </row>
    <row r="94" customFormat="false" ht="15" hidden="false" customHeight="false" outlineLevel="0" collapsed="false">
      <c r="A94" s="33" t="n">
        <v>91</v>
      </c>
      <c r="B94" s="34" t="n">
        <f aca="false">Summary!$B$5+IF(D94=1,0,IF(C94=1,Summary!$B$6,NA()))+(MATCH(1,E94:L94,0)-1)*Summary!$B$7+(MATCH(1,M94:T94,0)-1)*Summary!$B$8+(MATCH(1,U94:AB94,0)-1)*Summary!$B$9</f>
        <v>41.375</v>
      </c>
      <c r="C94" s="35" t="n">
        <v>0</v>
      </c>
      <c r="D94" s="35" t="n">
        <v>1</v>
      </c>
      <c r="E94" s="35" t="n">
        <v>0</v>
      </c>
      <c r="F94" s="35" t="n">
        <v>1</v>
      </c>
      <c r="G94" s="35" t="n">
        <v>0</v>
      </c>
      <c r="H94" s="35" t="n">
        <v>0</v>
      </c>
      <c r="I94" s="35" t="n">
        <v>0</v>
      </c>
      <c r="J94" s="35" t="n">
        <v>0</v>
      </c>
      <c r="K94" s="35" t="n">
        <v>0</v>
      </c>
      <c r="L94" s="35" t="n">
        <v>0</v>
      </c>
      <c r="M94" s="35" t="n">
        <v>0</v>
      </c>
      <c r="N94" s="35" t="n">
        <v>0</v>
      </c>
      <c r="O94" s="35" t="n">
        <v>0</v>
      </c>
      <c r="P94" s="35" t="n">
        <v>1</v>
      </c>
      <c r="Q94" s="35" t="n">
        <v>0</v>
      </c>
      <c r="R94" s="35" t="n">
        <v>0</v>
      </c>
      <c r="S94" s="35" t="n">
        <v>0</v>
      </c>
      <c r="T94" s="35" t="n">
        <v>0</v>
      </c>
      <c r="U94" s="35" t="n">
        <v>0</v>
      </c>
      <c r="V94" s="35" t="n">
        <v>0</v>
      </c>
      <c r="W94" s="35" t="n">
        <v>0</v>
      </c>
      <c r="X94" s="35" t="n">
        <v>1</v>
      </c>
      <c r="Y94" s="35" t="n">
        <v>0</v>
      </c>
      <c r="Z94" s="35" t="n">
        <v>0</v>
      </c>
      <c r="AA94" s="35" t="n">
        <v>0</v>
      </c>
      <c r="AB94" s="35" t="n">
        <v>0</v>
      </c>
      <c r="AC94" s="33" t="s">
        <v>195</v>
      </c>
      <c r="AD94" s="36" t="n">
        <f aca="false">B94-B93</f>
        <v>0.125</v>
      </c>
    </row>
    <row r="95" customFormat="false" ht="15" hidden="false" customHeight="false" outlineLevel="0" collapsed="false">
      <c r="A95" s="30" t="n">
        <v>92</v>
      </c>
      <c r="B95" s="31" t="n">
        <f aca="false">Summary!$B$5+IF(D95=1,0,IF(C95=1,Summary!$B$6,NA()))+(MATCH(1,E95:L95,0)-1)*Summary!$B$7+(MATCH(1,M95:T95,0)-1)*Summary!$B$8+(MATCH(1,U95:AB95,0)-1)*Summary!$B$9</f>
        <v>41.5</v>
      </c>
      <c r="C95" s="32" t="n">
        <v>0</v>
      </c>
      <c r="D95" s="32" t="n">
        <v>1</v>
      </c>
      <c r="E95" s="32" t="n">
        <v>0</v>
      </c>
      <c r="F95" s="32" t="n">
        <v>1</v>
      </c>
      <c r="G95" s="32" t="n">
        <v>0</v>
      </c>
      <c r="H95" s="32" t="n">
        <v>0</v>
      </c>
      <c r="I95" s="32" t="n">
        <v>0</v>
      </c>
      <c r="J95" s="32" t="n">
        <v>0</v>
      </c>
      <c r="K95" s="32" t="n">
        <v>0</v>
      </c>
      <c r="L95" s="32" t="n">
        <v>0</v>
      </c>
      <c r="M95" s="32" t="n">
        <v>0</v>
      </c>
      <c r="N95" s="32" t="n">
        <v>0</v>
      </c>
      <c r="O95" s="32" t="n">
        <v>0</v>
      </c>
      <c r="P95" s="32" t="n">
        <v>1</v>
      </c>
      <c r="Q95" s="32" t="n">
        <v>0</v>
      </c>
      <c r="R95" s="32" t="n">
        <v>0</v>
      </c>
      <c r="S95" s="32" t="n">
        <v>0</v>
      </c>
      <c r="T95" s="32" t="n">
        <v>0</v>
      </c>
      <c r="U95" s="32" t="n">
        <v>0</v>
      </c>
      <c r="V95" s="32" t="n">
        <v>0</v>
      </c>
      <c r="W95" s="32" t="n">
        <v>0</v>
      </c>
      <c r="X95" s="32" t="n">
        <v>0</v>
      </c>
      <c r="Y95" s="32" t="n">
        <v>1</v>
      </c>
      <c r="Z95" s="32" t="n">
        <v>0</v>
      </c>
      <c r="AA95" s="32" t="n">
        <v>0</v>
      </c>
      <c r="AB95" s="32" t="n">
        <v>0</v>
      </c>
      <c r="AC95" s="30" t="s">
        <v>196</v>
      </c>
      <c r="AD95" s="37" t="n">
        <f aca="false">B95-B94</f>
        <v>0.125</v>
      </c>
    </row>
    <row r="96" customFormat="false" ht="15" hidden="false" customHeight="false" outlineLevel="0" collapsed="false">
      <c r="A96" s="33" t="n">
        <v>93</v>
      </c>
      <c r="B96" s="34" t="n">
        <f aca="false">Summary!$B$5+IF(D96=1,0,IF(C96=1,Summary!$B$6,NA()))+(MATCH(1,E96:L96,0)-1)*Summary!$B$7+(MATCH(1,M96:T96,0)-1)*Summary!$B$8+(MATCH(1,U96:AB96,0)-1)*Summary!$B$9</f>
        <v>41.625</v>
      </c>
      <c r="C96" s="35" t="n">
        <v>0</v>
      </c>
      <c r="D96" s="35" t="n">
        <v>1</v>
      </c>
      <c r="E96" s="35" t="n">
        <v>0</v>
      </c>
      <c r="F96" s="35" t="n">
        <v>1</v>
      </c>
      <c r="G96" s="35" t="n">
        <v>0</v>
      </c>
      <c r="H96" s="35" t="n">
        <v>0</v>
      </c>
      <c r="I96" s="35" t="n">
        <v>0</v>
      </c>
      <c r="J96" s="35" t="n">
        <v>0</v>
      </c>
      <c r="K96" s="35" t="n">
        <v>0</v>
      </c>
      <c r="L96" s="35" t="n">
        <v>0</v>
      </c>
      <c r="M96" s="35" t="n">
        <v>0</v>
      </c>
      <c r="N96" s="35" t="n">
        <v>0</v>
      </c>
      <c r="O96" s="35" t="n">
        <v>0</v>
      </c>
      <c r="P96" s="35" t="n">
        <v>1</v>
      </c>
      <c r="Q96" s="35" t="n">
        <v>0</v>
      </c>
      <c r="R96" s="35" t="n">
        <v>0</v>
      </c>
      <c r="S96" s="35" t="n">
        <v>0</v>
      </c>
      <c r="T96" s="35" t="n">
        <v>0</v>
      </c>
      <c r="U96" s="35" t="n">
        <v>0</v>
      </c>
      <c r="V96" s="35" t="n">
        <v>0</v>
      </c>
      <c r="W96" s="35" t="n">
        <v>0</v>
      </c>
      <c r="X96" s="35" t="n">
        <v>0</v>
      </c>
      <c r="Y96" s="35" t="n">
        <v>0</v>
      </c>
      <c r="Z96" s="35" t="n">
        <v>1</v>
      </c>
      <c r="AA96" s="35" t="n">
        <v>0</v>
      </c>
      <c r="AB96" s="35" t="n">
        <v>0</v>
      </c>
      <c r="AC96" s="33" t="s">
        <v>197</v>
      </c>
      <c r="AD96" s="36" t="n">
        <f aca="false">B96-B95</f>
        <v>0.125</v>
      </c>
    </row>
    <row r="97" customFormat="false" ht="15" hidden="false" customHeight="false" outlineLevel="0" collapsed="false">
      <c r="A97" s="30" t="n">
        <v>94</v>
      </c>
      <c r="B97" s="31" t="n">
        <f aca="false">Summary!$B$5+IF(D97=1,0,IF(C97=1,Summary!$B$6,NA()))+(MATCH(1,E97:L97,0)-1)*Summary!$B$7+(MATCH(1,M97:T97,0)-1)*Summary!$B$8+(MATCH(1,U97:AB97,0)-1)*Summary!$B$9</f>
        <v>41.75</v>
      </c>
      <c r="C97" s="32" t="n">
        <v>0</v>
      </c>
      <c r="D97" s="32" t="n">
        <v>1</v>
      </c>
      <c r="E97" s="32" t="n">
        <v>0</v>
      </c>
      <c r="F97" s="32" t="n">
        <v>1</v>
      </c>
      <c r="G97" s="32" t="n">
        <v>0</v>
      </c>
      <c r="H97" s="32" t="n">
        <v>0</v>
      </c>
      <c r="I97" s="32" t="n">
        <v>0</v>
      </c>
      <c r="J97" s="32" t="n">
        <v>0</v>
      </c>
      <c r="K97" s="32" t="n">
        <v>0</v>
      </c>
      <c r="L97" s="32" t="n">
        <v>0</v>
      </c>
      <c r="M97" s="32" t="n">
        <v>0</v>
      </c>
      <c r="N97" s="32" t="n">
        <v>0</v>
      </c>
      <c r="O97" s="32" t="n">
        <v>0</v>
      </c>
      <c r="P97" s="32" t="n">
        <v>1</v>
      </c>
      <c r="Q97" s="32" t="n">
        <v>0</v>
      </c>
      <c r="R97" s="32" t="n">
        <v>0</v>
      </c>
      <c r="S97" s="32" t="n">
        <v>0</v>
      </c>
      <c r="T97" s="32" t="n">
        <v>0</v>
      </c>
      <c r="U97" s="32" t="n">
        <v>0</v>
      </c>
      <c r="V97" s="32" t="n">
        <v>0</v>
      </c>
      <c r="W97" s="32" t="n">
        <v>0</v>
      </c>
      <c r="X97" s="32" t="n">
        <v>0</v>
      </c>
      <c r="Y97" s="32" t="n">
        <v>0</v>
      </c>
      <c r="Z97" s="32" t="n">
        <v>0</v>
      </c>
      <c r="AA97" s="32" t="n">
        <v>1</v>
      </c>
      <c r="AB97" s="32" t="n">
        <v>0</v>
      </c>
      <c r="AC97" s="30" t="s">
        <v>198</v>
      </c>
      <c r="AD97" s="37" t="n">
        <f aca="false">B97-B96</f>
        <v>0.125</v>
      </c>
    </row>
    <row r="98" customFormat="false" ht="15" hidden="false" customHeight="false" outlineLevel="0" collapsed="false">
      <c r="A98" s="33" t="n">
        <v>95</v>
      </c>
      <c r="B98" s="34" t="n">
        <f aca="false">Summary!$B$5+IF(D98=1,0,IF(C98=1,Summary!$B$6,NA()))+(MATCH(1,E98:L98,0)-1)*Summary!$B$7+(MATCH(1,M98:T98,0)-1)*Summary!$B$8+(MATCH(1,U98:AB98,0)-1)*Summary!$B$9</f>
        <v>41.875</v>
      </c>
      <c r="C98" s="35" t="n">
        <v>0</v>
      </c>
      <c r="D98" s="35" t="n">
        <v>1</v>
      </c>
      <c r="E98" s="35" t="n">
        <v>0</v>
      </c>
      <c r="F98" s="35" t="n">
        <v>1</v>
      </c>
      <c r="G98" s="35" t="n">
        <v>0</v>
      </c>
      <c r="H98" s="35" t="n">
        <v>0</v>
      </c>
      <c r="I98" s="35" t="n">
        <v>0</v>
      </c>
      <c r="J98" s="35" t="n">
        <v>0</v>
      </c>
      <c r="K98" s="35" t="n">
        <v>0</v>
      </c>
      <c r="L98" s="35" t="n">
        <v>0</v>
      </c>
      <c r="M98" s="35" t="n">
        <v>0</v>
      </c>
      <c r="N98" s="35" t="n">
        <v>0</v>
      </c>
      <c r="O98" s="35" t="n">
        <v>0</v>
      </c>
      <c r="P98" s="35" t="n">
        <v>1</v>
      </c>
      <c r="Q98" s="35" t="n">
        <v>0</v>
      </c>
      <c r="R98" s="35" t="n">
        <v>0</v>
      </c>
      <c r="S98" s="35" t="n">
        <v>0</v>
      </c>
      <c r="T98" s="35" t="n">
        <v>0</v>
      </c>
      <c r="U98" s="35" t="n">
        <v>0</v>
      </c>
      <c r="V98" s="35" t="n">
        <v>0</v>
      </c>
      <c r="W98" s="35" t="n">
        <v>0</v>
      </c>
      <c r="X98" s="35" t="n">
        <v>0</v>
      </c>
      <c r="Y98" s="35" t="n">
        <v>0</v>
      </c>
      <c r="Z98" s="35" t="n">
        <v>0</v>
      </c>
      <c r="AA98" s="35" t="n">
        <v>0</v>
      </c>
      <c r="AB98" s="35" t="n">
        <v>1</v>
      </c>
      <c r="AC98" s="33" t="s">
        <v>199</v>
      </c>
      <c r="AD98" s="36" t="n">
        <f aca="false">B98-B97</f>
        <v>0.125</v>
      </c>
    </row>
    <row r="99" customFormat="false" ht="15" hidden="false" customHeight="false" outlineLevel="0" collapsed="false">
      <c r="A99" s="30" t="n">
        <v>96</v>
      </c>
      <c r="B99" s="31" t="n">
        <f aca="false">Summary!$B$5+IF(D99=1,0,IF(C99=1,Summary!$B$6,NA()))+(MATCH(1,E99:L99,0)-1)*Summary!$B$7+(MATCH(1,M99:T99,0)-1)*Summary!$B$8+(MATCH(1,U99:AB99,0)-1)*Summary!$B$9</f>
        <v>42</v>
      </c>
      <c r="C99" s="32" t="n">
        <v>0</v>
      </c>
      <c r="D99" s="32" t="n">
        <v>1</v>
      </c>
      <c r="E99" s="32" t="n">
        <v>0</v>
      </c>
      <c r="F99" s="32" t="n">
        <v>1</v>
      </c>
      <c r="G99" s="32" t="n">
        <v>0</v>
      </c>
      <c r="H99" s="32" t="n">
        <v>0</v>
      </c>
      <c r="I99" s="32" t="n">
        <v>0</v>
      </c>
      <c r="J99" s="32" t="n">
        <v>0</v>
      </c>
      <c r="K99" s="32" t="n">
        <v>0</v>
      </c>
      <c r="L99" s="32" t="n">
        <v>0</v>
      </c>
      <c r="M99" s="32" t="n">
        <v>0</v>
      </c>
      <c r="N99" s="32" t="n">
        <v>0</v>
      </c>
      <c r="O99" s="32" t="n">
        <v>0</v>
      </c>
      <c r="P99" s="32" t="n">
        <v>0</v>
      </c>
      <c r="Q99" s="32" t="n">
        <v>1</v>
      </c>
      <c r="R99" s="32" t="n">
        <v>0</v>
      </c>
      <c r="S99" s="32" t="n">
        <v>0</v>
      </c>
      <c r="T99" s="32" t="n">
        <v>0</v>
      </c>
      <c r="U99" s="32" t="n">
        <v>1</v>
      </c>
      <c r="V99" s="32" t="n">
        <v>0</v>
      </c>
      <c r="W99" s="32" t="n">
        <v>0</v>
      </c>
      <c r="X99" s="32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0" t="s">
        <v>200</v>
      </c>
      <c r="AD99" s="37" t="n">
        <f aca="false">B99-B98</f>
        <v>0.125</v>
      </c>
    </row>
    <row r="100" customFormat="false" ht="15" hidden="false" customHeight="false" outlineLevel="0" collapsed="false">
      <c r="A100" s="33" t="n">
        <v>97</v>
      </c>
      <c r="B100" s="34" t="n">
        <f aca="false">Summary!$B$5+IF(D100=1,0,IF(C100=1,Summary!$B$6,NA()))+(MATCH(1,E100:L100,0)-1)*Summary!$B$7+(MATCH(1,M100:T100,0)-1)*Summary!$B$8+(MATCH(1,U100:AB100,0)-1)*Summary!$B$9</f>
        <v>42.125</v>
      </c>
      <c r="C100" s="35" t="n">
        <v>0</v>
      </c>
      <c r="D100" s="35" t="n">
        <v>1</v>
      </c>
      <c r="E100" s="35" t="n">
        <v>0</v>
      </c>
      <c r="F100" s="35" t="n">
        <v>1</v>
      </c>
      <c r="G100" s="35" t="n">
        <v>0</v>
      </c>
      <c r="H100" s="35" t="n">
        <v>0</v>
      </c>
      <c r="I100" s="35" t="n">
        <v>0</v>
      </c>
      <c r="J100" s="35" t="n">
        <v>0</v>
      </c>
      <c r="K100" s="35" t="n">
        <v>0</v>
      </c>
      <c r="L100" s="35" t="n">
        <v>0</v>
      </c>
      <c r="M100" s="35" t="n">
        <v>0</v>
      </c>
      <c r="N100" s="35" t="n">
        <v>0</v>
      </c>
      <c r="O100" s="35" t="n">
        <v>0</v>
      </c>
      <c r="P100" s="35" t="n">
        <v>0</v>
      </c>
      <c r="Q100" s="35" t="n">
        <v>1</v>
      </c>
      <c r="R100" s="35" t="n">
        <v>0</v>
      </c>
      <c r="S100" s="35" t="n">
        <v>0</v>
      </c>
      <c r="T100" s="35" t="n">
        <v>0</v>
      </c>
      <c r="U100" s="35" t="n">
        <v>0</v>
      </c>
      <c r="V100" s="35" t="n">
        <v>1</v>
      </c>
      <c r="W100" s="35" t="n">
        <v>0</v>
      </c>
      <c r="X100" s="35" t="n">
        <v>0</v>
      </c>
      <c r="Y100" s="35" t="n">
        <v>0</v>
      </c>
      <c r="Z100" s="35" t="n">
        <v>0</v>
      </c>
      <c r="AA100" s="35" t="n">
        <v>0</v>
      </c>
      <c r="AB100" s="35" t="n">
        <v>0</v>
      </c>
      <c r="AC100" s="33" t="s">
        <v>201</v>
      </c>
      <c r="AD100" s="36" t="n">
        <f aca="false">B100-B99</f>
        <v>0.125</v>
      </c>
    </row>
    <row r="101" customFormat="false" ht="15" hidden="false" customHeight="false" outlineLevel="0" collapsed="false">
      <c r="A101" s="30" t="n">
        <v>98</v>
      </c>
      <c r="B101" s="31" t="n">
        <f aca="false">Summary!$B$5+IF(D101=1,0,IF(C101=1,Summary!$B$6,NA()))+(MATCH(1,E101:L101,0)-1)*Summary!$B$7+(MATCH(1,M101:T101,0)-1)*Summary!$B$8+(MATCH(1,U101:AB101,0)-1)*Summary!$B$9</f>
        <v>42.25</v>
      </c>
      <c r="C101" s="32" t="n">
        <v>0</v>
      </c>
      <c r="D101" s="32" t="n">
        <v>1</v>
      </c>
      <c r="E101" s="32" t="n">
        <v>0</v>
      </c>
      <c r="F101" s="32" t="n">
        <v>1</v>
      </c>
      <c r="G101" s="32" t="n">
        <v>0</v>
      </c>
      <c r="H101" s="32" t="n">
        <v>0</v>
      </c>
      <c r="I101" s="32" t="n">
        <v>0</v>
      </c>
      <c r="J101" s="32" t="n">
        <v>0</v>
      </c>
      <c r="K101" s="32" t="n">
        <v>0</v>
      </c>
      <c r="L101" s="32" t="n">
        <v>0</v>
      </c>
      <c r="M101" s="32" t="n">
        <v>0</v>
      </c>
      <c r="N101" s="32" t="n">
        <v>0</v>
      </c>
      <c r="O101" s="32" t="n">
        <v>0</v>
      </c>
      <c r="P101" s="32" t="n">
        <v>0</v>
      </c>
      <c r="Q101" s="32" t="n">
        <v>1</v>
      </c>
      <c r="R101" s="32" t="n">
        <v>0</v>
      </c>
      <c r="S101" s="32" t="n">
        <v>0</v>
      </c>
      <c r="T101" s="32" t="n">
        <v>0</v>
      </c>
      <c r="U101" s="32" t="n">
        <v>0</v>
      </c>
      <c r="V101" s="32" t="n">
        <v>0</v>
      </c>
      <c r="W101" s="32" t="n">
        <v>1</v>
      </c>
      <c r="X101" s="32" t="n">
        <v>0</v>
      </c>
      <c r="Y101" s="32" t="n">
        <v>0</v>
      </c>
      <c r="Z101" s="32" t="n">
        <v>0</v>
      </c>
      <c r="AA101" s="32" t="n">
        <v>0</v>
      </c>
      <c r="AB101" s="32" t="n">
        <v>0</v>
      </c>
      <c r="AC101" s="30" t="s">
        <v>202</v>
      </c>
      <c r="AD101" s="37" t="n">
        <f aca="false">B101-B100</f>
        <v>0.125</v>
      </c>
    </row>
    <row r="102" customFormat="false" ht="15" hidden="false" customHeight="false" outlineLevel="0" collapsed="false">
      <c r="A102" s="33" t="n">
        <v>99</v>
      </c>
      <c r="B102" s="34" t="n">
        <f aca="false">Summary!$B$5+IF(D102=1,0,IF(C102=1,Summary!$B$6,NA()))+(MATCH(1,E102:L102,0)-1)*Summary!$B$7+(MATCH(1,M102:T102,0)-1)*Summary!$B$8+(MATCH(1,U102:AB102,0)-1)*Summary!$B$9</f>
        <v>42.375</v>
      </c>
      <c r="C102" s="35" t="n">
        <v>0</v>
      </c>
      <c r="D102" s="35" t="n">
        <v>1</v>
      </c>
      <c r="E102" s="35" t="n">
        <v>0</v>
      </c>
      <c r="F102" s="35" t="n">
        <v>1</v>
      </c>
      <c r="G102" s="35" t="n">
        <v>0</v>
      </c>
      <c r="H102" s="35" t="n">
        <v>0</v>
      </c>
      <c r="I102" s="35" t="n">
        <v>0</v>
      </c>
      <c r="J102" s="35" t="n">
        <v>0</v>
      </c>
      <c r="K102" s="35" t="n">
        <v>0</v>
      </c>
      <c r="L102" s="35" t="n">
        <v>0</v>
      </c>
      <c r="M102" s="35" t="n">
        <v>0</v>
      </c>
      <c r="N102" s="35" t="n">
        <v>0</v>
      </c>
      <c r="O102" s="35" t="n">
        <v>0</v>
      </c>
      <c r="P102" s="35" t="n">
        <v>0</v>
      </c>
      <c r="Q102" s="35" t="n">
        <v>1</v>
      </c>
      <c r="R102" s="35" t="n">
        <v>0</v>
      </c>
      <c r="S102" s="35" t="n">
        <v>0</v>
      </c>
      <c r="T102" s="35" t="n">
        <v>0</v>
      </c>
      <c r="U102" s="35" t="n">
        <v>0</v>
      </c>
      <c r="V102" s="35" t="n">
        <v>0</v>
      </c>
      <c r="W102" s="35" t="n">
        <v>0</v>
      </c>
      <c r="X102" s="35" t="n">
        <v>1</v>
      </c>
      <c r="Y102" s="35" t="n">
        <v>0</v>
      </c>
      <c r="Z102" s="35" t="n">
        <v>0</v>
      </c>
      <c r="AA102" s="35" t="n">
        <v>0</v>
      </c>
      <c r="AB102" s="35" t="n">
        <v>0</v>
      </c>
      <c r="AC102" s="33" t="s">
        <v>203</v>
      </c>
      <c r="AD102" s="36" t="n">
        <f aca="false">B102-B101</f>
        <v>0.125</v>
      </c>
    </row>
    <row r="103" customFormat="false" ht="15" hidden="false" customHeight="false" outlineLevel="0" collapsed="false">
      <c r="A103" s="30" t="n">
        <v>100</v>
      </c>
      <c r="B103" s="31" t="n">
        <f aca="false">Summary!$B$5+IF(D103=1,0,IF(C103=1,Summary!$B$6,NA()))+(MATCH(1,E103:L103,0)-1)*Summary!$B$7+(MATCH(1,M103:T103,0)-1)*Summary!$B$8+(MATCH(1,U103:AB103,0)-1)*Summary!$B$9</f>
        <v>42.5</v>
      </c>
      <c r="C103" s="32" t="n">
        <v>0</v>
      </c>
      <c r="D103" s="32" t="n">
        <v>1</v>
      </c>
      <c r="E103" s="32" t="n">
        <v>0</v>
      </c>
      <c r="F103" s="32" t="n">
        <v>1</v>
      </c>
      <c r="G103" s="32" t="n">
        <v>0</v>
      </c>
      <c r="H103" s="32" t="n">
        <v>0</v>
      </c>
      <c r="I103" s="32" t="n">
        <v>0</v>
      </c>
      <c r="J103" s="32" t="n">
        <v>0</v>
      </c>
      <c r="K103" s="32" t="n">
        <v>0</v>
      </c>
      <c r="L103" s="32" t="n">
        <v>0</v>
      </c>
      <c r="M103" s="32" t="n">
        <v>0</v>
      </c>
      <c r="N103" s="32" t="n">
        <v>0</v>
      </c>
      <c r="O103" s="32" t="n">
        <v>0</v>
      </c>
      <c r="P103" s="32" t="n">
        <v>0</v>
      </c>
      <c r="Q103" s="32" t="n">
        <v>1</v>
      </c>
      <c r="R103" s="32" t="n">
        <v>0</v>
      </c>
      <c r="S103" s="32" t="n">
        <v>0</v>
      </c>
      <c r="T103" s="32" t="n">
        <v>0</v>
      </c>
      <c r="U103" s="32" t="n">
        <v>0</v>
      </c>
      <c r="V103" s="32" t="n">
        <v>0</v>
      </c>
      <c r="W103" s="32" t="n">
        <v>0</v>
      </c>
      <c r="X103" s="32" t="n">
        <v>0</v>
      </c>
      <c r="Y103" s="32" t="n">
        <v>1</v>
      </c>
      <c r="Z103" s="32" t="n">
        <v>0</v>
      </c>
      <c r="AA103" s="32" t="n">
        <v>0</v>
      </c>
      <c r="AB103" s="32" t="n">
        <v>0</v>
      </c>
      <c r="AC103" s="30" t="s">
        <v>204</v>
      </c>
      <c r="AD103" s="37" t="n">
        <f aca="false">B103-B102</f>
        <v>0.125</v>
      </c>
    </row>
    <row r="104" customFormat="false" ht="15" hidden="false" customHeight="false" outlineLevel="0" collapsed="false">
      <c r="A104" s="33" t="n">
        <v>101</v>
      </c>
      <c r="B104" s="34" t="n">
        <f aca="false">Summary!$B$5+IF(D104=1,0,IF(C104=1,Summary!$B$6,NA()))+(MATCH(1,E104:L104,0)-1)*Summary!$B$7+(MATCH(1,M104:T104,0)-1)*Summary!$B$8+(MATCH(1,U104:AB104,0)-1)*Summary!$B$9</f>
        <v>42.625</v>
      </c>
      <c r="C104" s="35" t="n">
        <v>0</v>
      </c>
      <c r="D104" s="35" t="n">
        <v>1</v>
      </c>
      <c r="E104" s="35" t="n">
        <v>0</v>
      </c>
      <c r="F104" s="35" t="n">
        <v>1</v>
      </c>
      <c r="G104" s="35" t="n">
        <v>0</v>
      </c>
      <c r="H104" s="35" t="n">
        <v>0</v>
      </c>
      <c r="I104" s="35" t="n">
        <v>0</v>
      </c>
      <c r="J104" s="35" t="n">
        <v>0</v>
      </c>
      <c r="K104" s="35" t="n">
        <v>0</v>
      </c>
      <c r="L104" s="35" t="n">
        <v>0</v>
      </c>
      <c r="M104" s="35" t="n">
        <v>0</v>
      </c>
      <c r="N104" s="35" t="n">
        <v>0</v>
      </c>
      <c r="O104" s="35" t="n">
        <v>0</v>
      </c>
      <c r="P104" s="35" t="n">
        <v>0</v>
      </c>
      <c r="Q104" s="35" t="n">
        <v>1</v>
      </c>
      <c r="R104" s="35" t="n">
        <v>0</v>
      </c>
      <c r="S104" s="35" t="n">
        <v>0</v>
      </c>
      <c r="T104" s="35" t="n">
        <v>0</v>
      </c>
      <c r="U104" s="35" t="n">
        <v>0</v>
      </c>
      <c r="V104" s="35" t="n">
        <v>0</v>
      </c>
      <c r="W104" s="35" t="n">
        <v>0</v>
      </c>
      <c r="X104" s="35" t="n">
        <v>0</v>
      </c>
      <c r="Y104" s="35" t="n">
        <v>0</v>
      </c>
      <c r="Z104" s="35" t="n">
        <v>1</v>
      </c>
      <c r="AA104" s="35" t="n">
        <v>0</v>
      </c>
      <c r="AB104" s="35" t="n">
        <v>0</v>
      </c>
      <c r="AC104" s="33" t="s">
        <v>205</v>
      </c>
      <c r="AD104" s="36" t="n">
        <f aca="false">B104-B103</f>
        <v>0.125</v>
      </c>
    </row>
    <row r="105" customFormat="false" ht="15" hidden="false" customHeight="false" outlineLevel="0" collapsed="false">
      <c r="A105" s="30" t="n">
        <v>102</v>
      </c>
      <c r="B105" s="31" t="n">
        <f aca="false">Summary!$B$5+IF(D105=1,0,IF(C105=1,Summary!$B$6,NA()))+(MATCH(1,E105:L105,0)-1)*Summary!$B$7+(MATCH(1,M105:T105,0)-1)*Summary!$B$8+(MATCH(1,U105:AB105,0)-1)*Summary!$B$9</f>
        <v>42.75</v>
      </c>
      <c r="C105" s="32" t="n">
        <v>0</v>
      </c>
      <c r="D105" s="32" t="n">
        <v>1</v>
      </c>
      <c r="E105" s="32" t="n">
        <v>0</v>
      </c>
      <c r="F105" s="32" t="n">
        <v>1</v>
      </c>
      <c r="G105" s="32" t="n">
        <v>0</v>
      </c>
      <c r="H105" s="32" t="n">
        <v>0</v>
      </c>
      <c r="I105" s="32" t="n">
        <v>0</v>
      </c>
      <c r="J105" s="32" t="n">
        <v>0</v>
      </c>
      <c r="K105" s="32" t="n">
        <v>0</v>
      </c>
      <c r="L105" s="32" t="n">
        <v>0</v>
      </c>
      <c r="M105" s="32" t="n">
        <v>0</v>
      </c>
      <c r="N105" s="32" t="n">
        <v>0</v>
      </c>
      <c r="O105" s="32" t="n">
        <v>0</v>
      </c>
      <c r="P105" s="32" t="n">
        <v>0</v>
      </c>
      <c r="Q105" s="32" t="n">
        <v>1</v>
      </c>
      <c r="R105" s="32" t="n">
        <v>0</v>
      </c>
      <c r="S105" s="32" t="n">
        <v>0</v>
      </c>
      <c r="T105" s="32" t="n">
        <v>0</v>
      </c>
      <c r="U105" s="32" t="n">
        <v>0</v>
      </c>
      <c r="V105" s="32" t="n">
        <v>0</v>
      </c>
      <c r="W105" s="32" t="n">
        <v>0</v>
      </c>
      <c r="X105" s="32" t="n">
        <v>0</v>
      </c>
      <c r="Y105" s="32" t="n">
        <v>0</v>
      </c>
      <c r="Z105" s="32" t="n">
        <v>0</v>
      </c>
      <c r="AA105" s="32" t="n">
        <v>1</v>
      </c>
      <c r="AB105" s="32" t="n">
        <v>0</v>
      </c>
      <c r="AC105" s="30" t="s">
        <v>206</v>
      </c>
      <c r="AD105" s="37" t="n">
        <f aca="false">B105-B104</f>
        <v>0.125</v>
      </c>
    </row>
    <row r="106" customFormat="false" ht="15" hidden="false" customHeight="false" outlineLevel="0" collapsed="false">
      <c r="A106" s="33" t="n">
        <v>103</v>
      </c>
      <c r="B106" s="34" t="n">
        <f aca="false">Summary!$B$5+IF(D106=1,0,IF(C106=1,Summary!$B$6,NA()))+(MATCH(1,E106:L106,0)-1)*Summary!$B$7+(MATCH(1,M106:T106,0)-1)*Summary!$B$8+(MATCH(1,U106:AB106,0)-1)*Summary!$B$9</f>
        <v>42.875</v>
      </c>
      <c r="C106" s="35" t="n">
        <v>0</v>
      </c>
      <c r="D106" s="35" t="n">
        <v>1</v>
      </c>
      <c r="E106" s="35" t="n">
        <v>0</v>
      </c>
      <c r="F106" s="35" t="n">
        <v>1</v>
      </c>
      <c r="G106" s="35" t="n">
        <v>0</v>
      </c>
      <c r="H106" s="35" t="n">
        <v>0</v>
      </c>
      <c r="I106" s="35" t="n">
        <v>0</v>
      </c>
      <c r="J106" s="35" t="n">
        <v>0</v>
      </c>
      <c r="K106" s="35" t="n">
        <v>0</v>
      </c>
      <c r="L106" s="35" t="n">
        <v>0</v>
      </c>
      <c r="M106" s="35" t="n">
        <v>0</v>
      </c>
      <c r="N106" s="35" t="n">
        <v>0</v>
      </c>
      <c r="O106" s="35" t="n">
        <v>0</v>
      </c>
      <c r="P106" s="35" t="n">
        <v>0</v>
      </c>
      <c r="Q106" s="35" t="n">
        <v>1</v>
      </c>
      <c r="R106" s="35" t="n">
        <v>0</v>
      </c>
      <c r="S106" s="35" t="n">
        <v>0</v>
      </c>
      <c r="T106" s="35" t="n">
        <v>0</v>
      </c>
      <c r="U106" s="35" t="n">
        <v>0</v>
      </c>
      <c r="V106" s="35" t="n">
        <v>0</v>
      </c>
      <c r="W106" s="35" t="n">
        <v>0</v>
      </c>
      <c r="X106" s="35" t="n">
        <v>0</v>
      </c>
      <c r="Y106" s="35" t="n">
        <v>0</v>
      </c>
      <c r="Z106" s="35" t="n">
        <v>0</v>
      </c>
      <c r="AA106" s="35" t="n">
        <v>0</v>
      </c>
      <c r="AB106" s="35" t="n">
        <v>1</v>
      </c>
      <c r="AC106" s="33" t="s">
        <v>207</v>
      </c>
      <c r="AD106" s="36" t="n">
        <f aca="false">B106-B105</f>
        <v>0.125</v>
      </c>
    </row>
    <row r="107" customFormat="false" ht="15" hidden="false" customHeight="false" outlineLevel="0" collapsed="false">
      <c r="A107" s="30" t="n">
        <v>104</v>
      </c>
      <c r="B107" s="31" t="n">
        <f aca="false">Summary!$B$5+IF(D107=1,0,IF(C107=1,Summary!$B$6,NA()))+(MATCH(1,E107:L107,0)-1)*Summary!$B$7+(MATCH(1,M107:T107,0)-1)*Summary!$B$8+(MATCH(1,U107:AB107,0)-1)*Summary!$B$9</f>
        <v>43</v>
      </c>
      <c r="C107" s="32" t="n">
        <v>0</v>
      </c>
      <c r="D107" s="32" t="n">
        <v>1</v>
      </c>
      <c r="E107" s="32" t="n">
        <v>0</v>
      </c>
      <c r="F107" s="32" t="n">
        <v>1</v>
      </c>
      <c r="G107" s="32" t="n">
        <v>0</v>
      </c>
      <c r="H107" s="32" t="n">
        <v>0</v>
      </c>
      <c r="I107" s="32" t="n">
        <v>0</v>
      </c>
      <c r="J107" s="32" t="n">
        <v>0</v>
      </c>
      <c r="K107" s="32" t="n">
        <v>0</v>
      </c>
      <c r="L107" s="32" t="n">
        <v>0</v>
      </c>
      <c r="M107" s="32" t="n">
        <v>0</v>
      </c>
      <c r="N107" s="32" t="n">
        <v>0</v>
      </c>
      <c r="O107" s="32" t="n">
        <v>0</v>
      </c>
      <c r="P107" s="32" t="n">
        <v>0</v>
      </c>
      <c r="Q107" s="32" t="n">
        <v>0</v>
      </c>
      <c r="R107" s="32" t="n">
        <v>1</v>
      </c>
      <c r="S107" s="32" t="n">
        <v>0</v>
      </c>
      <c r="T107" s="32" t="n">
        <v>0</v>
      </c>
      <c r="U107" s="32" t="n">
        <v>1</v>
      </c>
      <c r="V107" s="32" t="n">
        <v>0</v>
      </c>
      <c r="W107" s="32" t="n">
        <v>0</v>
      </c>
      <c r="X107" s="32" t="n">
        <v>0</v>
      </c>
      <c r="Y107" s="32" t="n">
        <v>0</v>
      </c>
      <c r="Z107" s="32" t="n">
        <v>0</v>
      </c>
      <c r="AA107" s="32" t="n">
        <v>0</v>
      </c>
      <c r="AB107" s="32" t="n">
        <v>0</v>
      </c>
      <c r="AC107" s="30" t="s">
        <v>208</v>
      </c>
      <c r="AD107" s="37" t="n">
        <f aca="false">B107-B106</f>
        <v>0.125</v>
      </c>
    </row>
    <row r="108" customFormat="false" ht="15" hidden="false" customHeight="false" outlineLevel="0" collapsed="false">
      <c r="A108" s="33" t="n">
        <v>105</v>
      </c>
      <c r="B108" s="34" t="n">
        <f aca="false">Summary!$B$5+IF(D108=1,0,IF(C108=1,Summary!$B$6,NA()))+(MATCH(1,E108:L108,0)-1)*Summary!$B$7+(MATCH(1,M108:T108,0)-1)*Summary!$B$8+(MATCH(1,U108:AB108,0)-1)*Summary!$B$9</f>
        <v>43.125</v>
      </c>
      <c r="C108" s="35" t="n">
        <v>0</v>
      </c>
      <c r="D108" s="35" t="n">
        <v>1</v>
      </c>
      <c r="E108" s="35" t="n">
        <v>0</v>
      </c>
      <c r="F108" s="35" t="n">
        <v>1</v>
      </c>
      <c r="G108" s="35" t="n">
        <v>0</v>
      </c>
      <c r="H108" s="35" t="n">
        <v>0</v>
      </c>
      <c r="I108" s="35" t="n">
        <v>0</v>
      </c>
      <c r="J108" s="35" t="n">
        <v>0</v>
      </c>
      <c r="K108" s="35" t="n">
        <v>0</v>
      </c>
      <c r="L108" s="35" t="n">
        <v>0</v>
      </c>
      <c r="M108" s="35" t="n">
        <v>0</v>
      </c>
      <c r="N108" s="35" t="n">
        <v>0</v>
      </c>
      <c r="O108" s="35" t="n">
        <v>0</v>
      </c>
      <c r="P108" s="35" t="n">
        <v>0</v>
      </c>
      <c r="Q108" s="35" t="n">
        <v>0</v>
      </c>
      <c r="R108" s="35" t="n">
        <v>1</v>
      </c>
      <c r="S108" s="35" t="n">
        <v>0</v>
      </c>
      <c r="T108" s="35" t="n">
        <v>0</v>
      </c>
      <c r="U108" s="35" t="n">
        <v>0</v>
      </c>
      <c r="V108" s="35" t="n">
        <v>1</v>
      </c>
      <c r="W108" s="35" t="n">
        <v>0</v>
      </c>
      <c r="X108" s="35" t="n">
        <v>0</v>
      </c>
      <c r="Y108" s="35" t="n">
        <v>0</v>
      </c>
      <c r="Z108" s="35" t="n">
        <v>0</v>
      </c>
      <c r="AA108" s="35" t="n">
        <v>0</v>
      </c>
      <c r="AB108" s="35" t="n">
        <v>0</v>
      </c>
      <c r="AC108" s="33" t="s">
        <v>209</v>
      </c>
      <c r="AD108" s="36" t="n">
        <f aca="false">B108-B107</f>
        <v>0.125</v>
      </c>
    </row>
    <row r="109" customFormat="false" ht="15" hidden="false" customHeight="false" outlineLevel="0" collapsed="false">
      <c r="A109" s="30" t="n">
        <v>106</v>
      </c>
      <c r="B109" s="31" t="n">
        <f aca="false">Summary!$B$5+IF(D109=1,0,IF(C109=1,Summary!$B$6,NA()))+(MATCH(1,E109:L109,0)-1)*Summary!$B$7+(MATCH(1,M109:T109,0)-1)*Summary!$B$8+(MATCH(1,U109:AB109,0)-1)*Summary!$B$9</f>
        <v>43.25</v>
      </c>
      <c r="C109" s="32" t="n">
        <v>0</v>
      </c>
      <c r="D109" s="32" t="n">
        <v>1</v>
      </c>
      <c r="E109" s="32" t="n">
        <v>0</v>
      </c>
      <c r="F109" s="32" t="n">
        <v>1</v>
      </c>
      <c r="G109" s="32" t="n">
        <v>0</v>
      </c>
      <c r="H109" s="32" t="n">
        <v>0</v>
      </c>
      <c r="I109" s="32" t="n">
        <v>0</v>
      </c>
      <c r="J109" s="32" t="n">
        <v>0</v>
      </c>
      <c r="K109" s="32" t="n">
        <v>0</v>
      </c>
      <c r="L109" s="32" t="n">
        <v>0</v>
      </c>
      <c r="M109" s="32" t="n">
        <v>0</v>
      </c>
      <c r="N109" s="32" t="n">
        <v>0</v>
      </c>
      <c r="O109" s="32" t="n">
        <v>0</v>
      </c>
      <c r="P109" s="32" t="n">
        <v>0</v>
      </c>
      <c r="Q109" s="32" t="n">
        <v>0</v>
      </c>
      <c r="R109" s="32" t="n">
        <v>1</v>
      </c>
      <c r="S109" s="32" t="n">
        <v>0</v>
      </c>
      <c r="T109" s="32" t="n">
        <v>0</v>
      </c>
      <c r="U109" s="32" t="n">
        <v>0</v>
      </c>
      <c r="V109" s="32" t="n">
        <v>0</v>
      </c>
      <c r="W109" s="32" t="n">
        <v>1</v>
      </c>
      <c r="X109" s="32" t="n">
        <v>0</v>
      </c>
      <c r="Y109" s="32" t="n">
        <v>0</v>
      </c>
      <c r="Z109" s="32" t="n">
        <v>0</v>
      </c>
      <c r="AA109" s="32" t="n">
        <v>0</v>
      </c>
      <c r="AB109" s="32" t="n">
        <v>0</v>
      </c>
      <c r="AC109" s="30" t="s">
        <v>210</v>
      </c>
      <c r="AD109" s="37" t="n">
        <f aca="false">B109-B108</f>
        <v>0.125</v>
      </c>
    </row>
    <row r="110" customFormat="false" ht="15" hidden="false" customHeight="false" outlineLevel="0" collapsed="false">
      <c r="A110" s="33" t="n">
        <v>107</v>
      </c>
      <c r="B110" s="34" t="n">
        <f aca="false">Summary!$B$5+IF(D110=1,0,IF(C110=1,Summary!$B$6,NA()))+(MATCH(1,E110:L110,0)-1)*Summary!$B$7+(MATCH(1,M110:T110,0)-1)*Summary!$B$8+(MATCH(1,U110:AB110,0)-1)*Summary!$B$9</f>
        <v>43.375</v>
      </c>
      <c r="C110" s="35" t="n">
        <v>0</v>
      </c>
      <c r="D110" s="35" t="n">
        <v>1</v>
      </c>
      <c r="E110" s="35" t="n">
        <v>0</v>
      </c>
      <c r="F110" s="35" t="n">
        <v>1</v>
      </c>
      <c r="G110" s="35" t="n">
        <v>0</v>
      </c>
      <c r="H110" s="35" t="n">
        <v>0</v>
      </c>
      <c r="I110" s="35" t="n">
        <v>0</v>
      </c>
      <c r="J110" s="35" t="n">
        <v>0</v>
      </c>
      <c r="K110" s="35" t="n">
        <v>0</v>
      </c>
      <c r="L110" s="35" t="n">
        <v>0</v>
      </c>
      <c r="M110" s="35" t="n">
        <v>0</v>
      </c>
      <c r="N110" s="35" t="n">
        <v>0</v>
      </c>
      <c r="O110" s="35" t="n">
        <v>0</v>
      </c>
      <c r="P110" s="35" t="n">
        <v>0</v>
      </c>
      <c r="Q110" s="35" t="n">
        <v>0</v>
      </c>
      <c r="R110" s="35" t="n">
        <v>1</v>
      </c>
      <c r="S110" s="35" t="n">
        <v>0</v>
      </c>
      <c r="T110" s="35" t="n">
        <v>0</v>
      </c>
      <c r="U110" s="35" t="n">
        <v>0</v>
      </c>
      <c r="V110" s="35" t="n">
        <v>0</v>
      </c>
      <c r="W110" s="35" t="n">
        <v>0</v>
      </c>
      <c r="X110" s="35" t="n">
        <v>1</v>
      </c>
      <c r="Y110" s="35" t="n">
        <v>0</v>
      </c>
      <c r="Z110" s="35" t="n">
        <v>0</v>
      </c>
      <c r="AA110" s="35" t="n">
        <v>0</v>
      </c>
      <c r="AB110" s="35" t="n">
        <v>0</v>
      </c>
      <c r="AC110" s="33" t="s">
        <v>211</v>
      </c>
      <c r="AD110" s="36" t="n">
        <f aca="false">B110-B109</f>
        <v>0.125</v>
      </c>
    </row>
    <row r="111" customFormat="false" ht="15" hidden="false" customHeight="false" outlineLevel="0" collapsed="false">
      <c r="A111" s="30" t="n">
        <v>108</v>
      </c>
      <c r="B111" s="31" t="n">
        <f aca="false">Summary!$B$5+IF(D111=1,0,IF(C111=1,Summary!$B$6,NA()))+(MATCH(1,E111:L111,0)-1)*Summary!$B$7+(MATCH(1,M111:T111,0)-1)*Summary!$B$8+(MATCH(1,U111:AB111,0)-1)*Summary!$B$9</f>
        <v>43.5</v>
      </c>
      <c r="C111" s="32" t="n">
        <v>0</v>
      </c>
      <c r="D111" s="32" t="n">
        <v>1</v>
      </c>
      <c r="E111" s="32" t="n">
        <v>0</v>
      </c>
      <c r="F111" s="32" t="n">
        <v>1</v>
      </c>
      <c r="G111" s="32" t="n">
        <v>0</v>
      </c>
      <c r="H111" s="32" t="n">
        <v>0</v>
      </c>
      <c r="I111" s="32" t="n">
        <v>0</v>
      </c>
      <c r="J111" s="32" t="n">
        <v>0</v>
      </c>
      <c r="K111" s="32" t="n">
        <v>0</v>
      </c>
      <c r="L111" s="32" t="n">
        <v>0</v>
      </c>
      <c r="M111" s="32" t="n">
        <v>0</v>
      </c>
      <c r="N111" s="32" t="n">
        <v>0</v>
      </c>
      <c r="O111" s="32" t="n">
        <v>0</v>
      </c>
      <c r="P111" s="32" t="n">
        <v>0</v>
      </c>
      <c r="Q111" s="32" t="n">
        <v>0</v>
      </c>
      <c r="R111" s="32" t="n">
        <v>1</v>
      </c>
      <c r="S111" s="32" t="n">
        <v>0</v>
      </c>
      <c r="T111" s="32" t="n">
        <v>0</v>
      </c>
      <c r="U111" s="32" t="n">
        <v>0</v>
      </c>
      <c r="V111" s="32" t="n">
        <v>0</v>
      </c>
      <c r="W111" s="32" t="n">
        <v>0</v>
      </c>
      <c r="X111" s="32" t="n">
        <v>0</v>
      </c>
      <c r="Y111" s="32" t="n">
        <v>1</v>
      </c>
      <c r="Z111" s="32" t="n">
        <v>0</v>
      </c>
      <c r="AA111" s="32" t="n">
        <v>0</v>
      </c>
      <c r="AB111" s="32" t="n">
        <v>0</v>
      </c>
      <c r="AC111" s="30" t="s">
        <v>212</v>
      </c>
      <c r="AD111" s="37" t="n">
        <f aca="false">B111-B110</f>
        <v>0.125</v>
      </c>
    </row>
    <row r="112" customFormat="false" ht="15" hidden="false" customHeight="false" outlineLevel="0" collapsed="false">
      <c r="A112" s="33" t="n">
        <v>109</v>
      </c>
      <c r="B112" s="34" t="n">
        <f aca="false">Summary!$B$5+IF(D112=1,0,IF(C112=1,Summary!$B$6,NA()))+(MATCH(1,E112:L112,0)-1)*Summary!$B$7+(MATCH(1,M112:T112,0)-1)*Summary!$B$8+(MATCH(1,U112:AB112,0)-1)*Summary!$B$9</f>
        <v>43.625</v>
      </c>
      <c r="C112" s="35" t="n">
        <v>0</v>
      </c>
      <c r="D112" s="35" t="n">
        <v>1</v>
      </c>
      <c r="E112" s="35" t="n">
        <v>0</v>
      </c>
      <c r="F112" s="35" t="n">
        <v>1</v>
      </c>
      <c r="G112" s="35" t="n">
        <v>0</v>
      </c>
      <c r="H112" s="35" t="n">
        <v>0</v>
      </c>
      <c r="I112" s="35" t="n">
        <v>0</v>
      </c>
      <c r="J112" s="35" t="n">
        <v>0</v>
      </c>
      <c r="K112" s="35" t="n">
        <v>0</v>
      </c>
      <c r="L112" s="35" t="n">
        <v>0</v>
      </c>
      <c r="M112" s="35" t="n">
        <v>0</v>
      </c>
      <c r="N112" s="35" t="n">
        <v>0</v>
      </c>
      <c r="O112" s="35" t="n">
        <v>0</v>
      </c>
      <c r="P112" s="35" t="n">
        <v>0</v>
      </c>
      <c r="Q112" s="35" t="n">
        <v>0</v>
      </c>
      <c r="R112" s="35" t="n">
        <v>1</v>
      </c>
      <c r="S112" s="35" t="n">
        <v>0</v>
      </c>
      <c r="T112" s="35" t="n">
        <v>0</v>
      </c>
      <c r="U112" s="35" t="n">
        <v>0</v>
      </c>
      <c r="V112" s="35" t="n">
        <v>0</v>
      </c>
      <c r="W112" s="35" t="n">
        <v>0</v>
      </c>
      <c r="X112" s="35" t="n">
        <v>0</v>
      </c>
      <c r="Y112" s="35" t="n">
        <v>0</v>
      </c>
      <c r="Z112" s="35" t="n">
        <v>1</v>
      </c>
      <c r="AA112" s="35" t="n">
        <v>0</v>
      </c>
      <c r="AB112" s="35" t="n">
        <v>0</v>
      </c>
      <c r="AC112" s="33" t="s">
        <v>213</v>
      </c>
      <c r="AD112" s="36" t="n">
        <f aca="false">B112-B111</f>
        <v>0.125</v>
      </c>
    </row>
    <row r="113" customFormat="false" ht="15" hidden="false" customHeight="false" outlineLevel="0" collapsed="false">
      <c r="A113" s="30" t="n">
        <v>110</v>
      </c>
      <c r="B113" s="31" t="n">
        <f aca="false">Summary!$B$5+IF(D113=1,0,IF(C113=1,Summary!$B$6,NA()))+(MATCH(1,E113:L113,0)-1)*Summary!$B$7+(MATCH(1,M113:T113,0)-1)*Summary!$B$8+(MATCH(1,U113:AB113,0)-1)*Summary!$B$9</f>
        <v>43.75</v>
      </c>
      <c r="C113" s="32" t="n">
        <v>0</v>
      </c>
      <c r="D113" s="32" t="n">
        <v>1</v>
      </c>
      <c r="E113" s="32" t="n">
        <v>0</v>
      </c>
      <c r="F113" s="32" t="n">
        <v>1</v>
      </c>
      <c r="G113" s="32" t="n">
        <v>0</v>
      </c>
      <c r="H113" s="32" t="n">
        <v>0</v>
      </c>
      <c r="I113" s="32" t="n">
        <v>0</v>
      </c>
      <c r="J113" s="32" t="n">
        <v>0</v>
      </c>
      <c r="K113" s="32" t="n">
        <v>0</v>
      </c>
      <c r="L113" s="32" t="n">
        <v>0</v>
      </c>
      <c r="M113" s="32" t="n">
        <v>0</v>
      </c>
      <c r="N113" s="32" t="n">
        <v>0</v>
      </c>
      <c r="O113" s="32" t="n">
        <v>0</v>
      </c>
      <c r="P113" s="32" t="n">
        <v>0</v>
      </c>
      <c r="Q113" s="32" t="n">
        <v>0</v>
      </c>
      <c r="R113" s="32" t="n">
        <v>1</v>
      </c>
      <c r="S113" s="32" t="n">
        <v>0</v>
      </c>
      <c r="T113" s="32" t="n">
        <v>0</v>
      </c>
      <c r="U113" s="32" t="n">
        <v>0</v>
      </c>
      <c r="V113" s="32" t="n">
        <v>0</v>
      </c>
      <c r="W113" s="32" t="n">
        <v>0</v>
      </c>
      <c r="X113" s="32" t="n">
        <v>0</v>
      </c>
      <c r="Y113" s="32" t="n">
        <v>0</v>
      </c>
      <c r="Z113" s="32" t="n">
        <v>0</v>
      </c>
      <c r="AA113" s="32" t="n">
        <v>1</v>
      </c>
      <c r="AB113" s="32" t="n">
        <v>0</v>
      </c>
      <c r="AC113" s="30" t="s">
        <v>214</v>
      </c>
      <c r="AD113" s="37" t="n">
        <f aca="false">B113-B112</f>
        <v>0.125</v>
      </c>
    </row>
    <row r="114" customFormat="false" ht="15" hidden="false" customHeight="false" outlineLevel="0" collapsed="false">
      <c r="A114" s="33" t="n">
        <v>111</v>
      </c>
      <c r="B114" s="34" t="n">
        <f aca="false">Summary!$B$5+IF(D114=1,0,IF(C114=1,Summary!$B$6,NA()))+(MATCH(1,E114:L114,0)-1)*Summary!$B$7+(MATCH(1,M114:T114,0)-1)*Summary!$B$8+(MATCH(1,U114:AB114,0)-1)*Summary!$B$9</f>
        <v>43.875</v>
      </c>
      <c r="C114" s="35" t="n">
        <v>0</v>
      </c>
      <c r="D114" s="35" t="n">
        <v>1</v>
      </c>
      <c r="E114" s="35" t="n">
        <v>0</v>
      </c>
      <c r="F114" s="35" t="n">
        <v>1</v>
      </c>
      <c r="G114" s="35" t="n">
        <v>0</v>
      </c>
      <c r="H114" s="35" t="n">
        <v>0</v>
      </c>
      <c r="I114" s="35" t="n">
        <v>0</v>
      </c>
      <c r="J114" s="35" t="n">
        <v>0</v>
      </c>
      <c r="K114" s="35" t="n">
        <v>0</v>
      </c>
      <c r="L114" s="35" t="n">
        <v>0</v>
      </c>
      <c r="M114" s="35" t="n">
        <v>0</v>
      </c>
      <c r="N114" s="35" t="n">
        <v>0</v>
      </c>
      <c r="O114" s="35" t="n">
        <v>0</v>
      </c>
      <c r="P114" s="35" t="n">
        <v>0</v>
      </c>
      <c r="Q114" s="35" t="n">
        <v>0</v>
      </c>
      <c r="R114" s="35" t="n">
        <v>1</v>
      </c>
      <c r="S114" s="35" t="n">
        <v>0</v>
      </c>
      <c r="T114" s="35" t="n">
        <v>0</v>
      </c>
      <c r="U114" s="35" t="n">
        <v>0</v>
      </c>
      <c r="V114" s="35" t="n">
        <v>0</v>
      </c>
      <c r="W114" s="35" t="n">
        <v>0</v>
      </c>
      <c r="X114" s="35" t="n">
        <v>0</v>
      </c>
      <c r="Y114" s="35" t="n">
        <v>0</v>
      </c>
      <c r="Z114" s="35" t="n">
        <v>0</v>
      </c>
      <c r="AA114" s="35" t="n">
        <v>0</v>
      </c>
      <c r="AB114" s="35" t="n">
        <v>1</v>
      </c>
      <c r="AC114" s="33" t="s">
        <v>215</v>
      </c>
      <c r="AD114" s="36" t="n">
        <f aca="false">B114-B113</f>
        <v>0.125</v>
      </c>
    </row>
    <row r="115" customFormat="false" ht="15" hidden="false" customHeight="false" outlineLevel="0" collapsed="false">
      <c r="A115" s="30" t="n">
        <v>112</v>
      </c>
      <c r="B115" s="31" t="n">
        <f aca="false">Summary!$B$5+IF(D115=1,0,IF(C115=1,Summary!$B$6,NA()))+(MATCH(1,E115:L115,0)-1)*Summary!$B$7+(MATCH(1,M115:T115,0)-1)*Summary!$B$8+(MATCH(1,U115:AB115,0)-1)*Summary!$B$9</f>
        <v>44</v>
      </c>
      <c r="C115" s="32" t="n">
        <v>0</v>
      </c>
      <c r="D115" s="32" t="n">
        <v>1</v>
      </c>
      <c r="E115" s="32" t="n">
        <v>0</v>
      </c>
      <c r="F115" s="32" t="n">
        <v>1</v>
      </c>
      <c r="G115" s="32" t="n">
        <v>0</v>
      </c>
      <c r="H115" s="32" t="n">
        <v>0</v>
      </c>
      <c r="I115" s="32" t="n">
        <v>0</v>
      </c>
      <c r="J115" s="32" t="n">
        <v>0</v>
      </c>
      <c r="K115" s="32" t="n">
        <v>0</v>
      </c>
      <c r="L115" s="32" t="n">
        <v>0</v>
      </c>
      <c r="M115" s="32" t="n">
        <v>0</v>
      </c>
      <c r="N115" s="32" t="n">
        <v>0</v>
      </c>
      <c r="O115" s="32" t="n">
        <v>0</v>
      </c>
      <c r="P115" s="32" t="n">
        <v>0</v>
      </c>
      <c r="Q115" s="32" t="n">
        <v>0</v>
      </c>
      <c r="R115" s="32" t="n">
        <v>0</v>
      </c>
      <c r="S115" s="32" t="n">
        <v>1</v>
      </c>
      <c r="T115" s="32" t="n">
        <v>0</v>
      </c>
      <c r="U115" s="32" t="n">
        <v>1</v>
      </c>
      <c r="V115" s="32" t="n">
        <v>0</v>
      </c>
      <c r="W115" s="32" t="n">
        <v>0</v>
      </c>
      <c r="X115" s="32" t="n">
        <v>0</v>
      </c>
      <c r="Y115" s="32" t="n">
        <v>0</v>
      </c>
      <c r="Z115" s="32" t="n">
        <v>0</v>
      </c>
      <c r="AA115" s="32" t="n">
        <v>0</v>
      </c>
      <c r="AB115" s="32" t="n">
        <v>0</v>
      </c>
      <c r="AC115" s="30" t="s">
        <v>216</v>
      </c>
      <c r="AD115" s="37" t="n">
        <f aca="false">B115-B114</f>
        <v>0.125</v>
      </c>
    </row>
    <row r="116" customFormat="false" ht="15" hidden="false" customHeight="false" outlineLevel="0" collapsed="false">
      <c r="A116" s="33" t="n">
        <v>113</v>
      </c>
      <c r="B116" s="34" t="n">
        <f aca="false">Summary!$B$5+IF(D116=1,0,IF(C116=1,Summary!$B$6,NA()))+(MATCH(1,E116:L116,0)-1)*Summary!$B$7+(MATCH(1,M116:T116,0)-1)*Summary!$B$8+(MATCH(1,U116:AB116,0)-1)*Summary!$B$9</f>
        <v>44.125</v>
      </c>
      <c r="C116" s="35" t="n">
        <v>0</v>
      </c>
      <c r="D116" s="35" t="n">
        <v>1</v>
      </c>
      <c r="E116" s="35" t="n">
        <v>0</v>
      </c>
      <c r="F116" s="35" t="n">
        <v>1</v>
      </c>
      <c r="G116" s="35" t="n">
        <v>0</v>
      </c>
      <c r="H116" s="35" t="n">
        <v>0</v>
      </c>
      <c r="I116" s="35" t="n">
        <v>0</v>
      </c>
      <c r="J116" s="35" t="n">
        <v>0</v>
      </c>
      <c r="K116" s="35" t="n">
        <v>0</v>
      </c>
      <c r="L116" s="35" t="n">
        <v>0</v>
      </c>
      <c r="M116" s="35" t="n">
        <v>0</v>
      </c>
      <c r="N116" s="35" t="n">
        <v>0</v>
      </c>
      <c r="O116" s="35" t="n">
        <v>0</v>
      </c>
      <c r="P116" s="35" t="n">
        <v>0</v>
      </c>
      <c r="Q116" s="35" t="n">
        <v>0</v>
      </c>
      <c r="R116" s="35" t="n">
        <v>0</v>
      </c>
      <c r="S116" s="35" t="n">
        <v>1</v>
      </c>
      <c r="T116" s="35" t="n">
        <v>0</v>
      </c>
      <c r="U116" s="35" t="n">
        <v>0</v>
      </c>
      <c r="V116" s="35" t="n">
        <v>1</v>
      </c>
      <c r="W116" s="35" t="n">
        <v>0</v>
      </c>
      <c r="X116" s="35" t="n">
        <v>0</v>
      </c>
      <c r="Y116" s="35" t="n">
        <v>0</v>
      </c>
      <c r="Z116" s="35" t="n">
        <v>0</v>
      </c>
      <c r="AA116" s="35" t="n">
        <v>0</v>
      </c>
      <c r="AB116" s="35" t="n">
        <v>0</v>
      </c>
      <c r="AC116" s="33" t="s">
        <v>217</v>
      </c>
      <c r="AD116" s="36" t="n">
        <f aca="false">B116-B115</f>
        <v>0.125</v>
      </c>
    </row>
    <row r="117" customFormat="false" ht="15" hidden="false" customHeight="false" outlineLevel="0" collapsed="false">
      <c r="A117" s="30" t="n">
        <v>114</v>
      </c>
      <c r="B117" s="31" t="n">
        <f aca="false">Summary!$B$5+IF(D117=1,0,IF(C117=1,Summary!$B$6,NA()))+(MATCH(1,E117:L117,0)-1)*Summary!$B$7+(MATCH(1,M117:T117,0)-1)*Summary!$B$8+(MATCH(1,U117:AB117,0)-1)*Summary!$B$9</f>
        <v>44.25</v>
      </c>
      <c r="C117" s="32" t="n">
        <v>0</v>
      </c>
      <c r="D117" s="32" t="n">
        <v>1</v>
      </c>
      <c r="E117" s="32" t="n">
        <v>0</v>
      </c>
      <c r="F117" s="32" t="n">
        <v>1</v>
      </c>
      <c r="G117" s="32" t="n">
        <v>0</v>
      </c>
      <c r="H117" s="32" t="n">
        <v>0</v>
      </c>
      <c r="I117" s="32" t="n">
        <v>0</v>
      </c>
      <c r="J117" s="32" t="n">
        <v>0</v>
      </c>
      <c r="K117" s="32" t="n">
        <v>0</v>
      </c>
      <c r="L117" s="32" t="n">
        <v>0</v>
      </c>
      <c r="M117" s="32" t="n">
        <v>0</v>
      </c>
      <c r="N117" s="32" t="n">
        <v>0</v>
      </c>
      <c r="O117" s="32" t="n">
        <v>0</v>
      </c>
      <c r="P117" s="32" t="n">
        <v>0</v>
      </c>
      <c r="Q117" s="32" t="n">
        <v>0</v>
      </c>
      <c r="R117" s="32" t="n">
        <v>0</v>
      </c>
      <c r="S117" s="32" t="n">
        <v>1</v>
      </c>
      <c r="T117" s="32" t="n">
        <v>0</v>
      </c>
      <c r="U117" s="32" t="n">
        <v>0</v>
      </c>
      <c r="V117" s="32" t="n">
        <v>0</v>
      </c>
      <c r="W117" s="32" t="n">
        <v>1</v>
      </c>
      <c r="X117" s="32" t="n">
        <v>0</v>
      </c>
      <c r="Y117" s="32" t="n">
        <v>0</v>
      </c>
      <c r="Z117" s="32" t="n">
        <v>0</v>
      </c>
      <c r="AA117" s="32" t="n">
        <v>0</v>
      </c>
      <c r="AB117" s="32" t="n">
        <v>0</v>
      </c>
      <c r="AC117" s="30" t="s">
        <v>218</v>
      </c>
      <c r="AD117" s="37" t="n">
        <f aca="false">B117-B116</f>
        <v>0.125</v>
      </c>
    </row>
    <row r="118" customFormat="false" ht="15" hidden="false" customHeight="false" outlineLevel="0" collapsed="false">
      <c r="A118" s="33" t="n">
        <v>115</v>
      </c>
      <c r="B118" s="34" t="n">
        <f aca="false">Summary!$B$5+IF(D118=1,0,IF(C118=1,Summary!$B$6,NA()))+(MATCH(1,E118:L118,0)-1)*Summary!$B$7+(MATCH(1,M118:T118,0)-1)*Summary!$B$8+(MATCH(1,U118:AB118,0)-1)*Summary!$B$9</f>
        <v>44.375</v>
      </c>
      <c r="C118" s="35" t="n">
        <v>0</v>
      </c>
      <c r="D118" s="35" t="n">
        <v>1</v>
      </c>
      <c r="E118" s="35" t="n">
        <v>0</v>
      </c>
      <c r="F118" s="35" t="n">
        <v>1</v>
      </c>
      <c r="G118" s="35" t="n">
        <v>0</v>
      </c>
      <c r="H118" s="35" t="n">
        <v>0</v>
      </c>
      <c r="I118" s="35" t="n">
        <v>0</v>
      </c>
      <c r="J118" s="35" t="n">
        <v>0</v>
      </c>
      <c r="K118" s="35" t="n">
        <v>0</v>
      </c>
      <c r="L118" s="35" t="n">
        <v>0</v>
      </c>
      <c r="M118" s="35" t="n">
        <v>0</v>
      </c>
      <c r="N118" s="35" t="n">
        <v>0</v>
      </c>
      <c r="O118" s="35" t="n">
        <v>0</v>
      </c>
      <c r="P118" s="35" t="n">
        <v>0</v>
      </c>
      <c r="Q118" s="35" t="n">
        <v>0</v>
      </c>
      <c r="R118" s="35" t="n">
        <v>0</v>
      </c>
      <c r="S118" s="35" t="n">
        <v>1</v>
      </c>
      <c r="T118" s="35" t="n">
        <v>0</v>
      </c>
      <c r="U118" s="35" t="n">
        <v>0</v>
      </c>
      <c r="V118" s="35" t="n">
        <v>0</v>
      </c>
      <c r="W118" s="35" t="n">
        <v>0</v>
      </c>
      <c r="X118" s="35" t="n">
        <v>1</v>
      </c>
      <c r="Y118" s="35" t="n">
        <v>0</v>
      </c>
      <c r="Z118" s="35" t="n">
        <v>0</v>
      </c>
      <c r="AA118" s="35" t="n">
        <v>0</v>
      </c>
      <c r="AB118" s="35" t="n">
        <v>0</v>
      </c>
      <c r="AC118" s="33" t="s">
        <v>219</v>
      </c>
      <c r="AD118" s="36" t="n">
        <f aca="false">B118-B117</f>
        <v>0.125</v>
      </c>
    </row>
    <row r="119" customFormat="false" ht="15" hidden="false" customHeight="false" outlineLevel="0" collapsed="false">
      <c r="A119" s="30" t="n">
        <v>116</v>
      </c>
      <c r="B119" s="31" t="n">
        <f aca="false">Summary!$B$5+IF(D119=1,0,IF(C119=1,Summary!$B$6,NA()))+(MATCH(1,E119:L119,0)-1)*Summary!$B$7+(MATCH(1,M119:T119,0)-1)*Summary!$B$8+(MATCH(1,U119:AB119,0)-1)*Summary!$B$9</f>
        <v>44.5</v>
      </c>
      <c r="C119" s="32" t="n">
        <v>0</v>
      </c>
      <c r="D119" s="32" t="n">
        <v>1</v>
      </c>
      <c r="E119" s="32" t="n">
        <v>0</v>
      </c>
      <c r="F119" s="32" t="n">
        <v>1</v>
      </c>
      <c r="G119" s="32" t="n">
        <v>0</v>
      </c>
      <c r="H119" s="32" t="n">
        <v>0</v>
      </c>
      <c r="I119" s="32" t="n">
        <v>0</v>
      </c>
      <c r="J119" s="32" t="n">
        <v>0</v>
      </c>
      <c r="K119" s="32" t="n">
        <v>0</v>
      </c>
      <c r="L119" s="32" t="n">
        <v>0</v>
      </c>
      <c r="M119" s="32" t="n">
        <v>0</v>
      </c>
      <c r="N119" s="32" t="n">
        <v>0</v>
      </c>
      <c r="O119" s="32" t="n">
        <v>0</v>
      </c>
      <c r="P119" s="32" t="n">
        <v>0</v>
      </c>
      <c r="Q119" s="32" t="n">
        <v>0</v>
      </c>
      <c r="R119" s="32" t="n">
        <v>0</v>
      </c>
      <c r="S119" s="32" t="n">
        <v>1</v>
      </c>
      <c r="T119" s="32" t="n">
        <v>0</v>
      </c>
      <c r="U119" s="32" t="n">
        <v>0</v>
      </c>
      <c r="V119" s="32" t="n">
        <v>0</v>
      </c>
      <c r="W119" s="32" t="n">
        <v>0</v>
      </c>
      <c r="X119" s="32" t="n">
        <v>0</v>
      </c>
      <c r="Y119" s="32" t="n">
        <v>1</v>
      </c>
      <c r="Z119" s="32" t="n">
        <v>0</v>
      </c>
      <c r="AA119" s="32" t="n">
        <v>0</v>
      </c>
      <c r="AB119" s="32" t="n">
        <v>0</v>
      </c>
      <c r="AC119" s="30" t="s">
        <v>220</v>
      </c>
      <c r="AD119" s="37" t="n">
        <f aca="false">B119-B118</f>
        <v>0.125</v>
      </c>
    </row>
    <row r="120" customFormat="false" ht="15" hidden="false" customHeight="false" outlineLevel="0" collapsed="false">
      <c r="A120" s="33" t="n">
        <v>117</v>
      </c>
      <c r="B120" s="34" t="n">
        <f aca="false">Summary!$B$5+IF(D120=1,0,IF(C120=1,Summary!$B$6,NA()))+(MATCH(1,E120:L120,0)-1)*Summary!$B$7+(MATCH(1,M120:T120,0)-1)*Summary!$B$8+(MATCH(1,U120:AB120,0)-1)*Summary!$B$9</f>
        <v>44.625</v>
      </c>
      <c r="C120" s="35" t="n">
        <v>0</v>
      </c>
      <c r="D120" s="35" t="n">
        <v>1</v>
      </c>
      <c r="E120" s="35" t="n">
        <v>0</v>
      </c>
      <c r="F120" s="35" t="n">
        <v>1</v>
      </c>
      <c r="G120" s="35" t="n">
        <v>0</v>
      </c>
      <c r="H120" s="35" t="n">
        <v>0</v>
      </c>
      <c r="I120" s="35" t="n">
        <v>0</v>
      </c>
      <c r="J120" s="35" t="n">
        <v>0</v>
      </c>
      <c r="K120" s="35" t="n">
        <v>0</v>
      </c>
      <c r="L120" s="35" t="n">
        <v>0</v>
      </c>
      <c r="M120" s="35" t="n">
        <v>0</v>
      </c>
      <c r="N120" s="35" t="n">
        <v>0</v>
      </c>
      <c r="O120" s="35" t="n">
        <v>0</v>
      </c>
      <c r="P120" s="35" t="n">
        <v>0</v>
      </c>
      <c r="Q120" s="35" t="n">
        <v>0</v>
      </c>
      <c r="R120" s="35" t="n">
        <v>0</v>
      </c>
      <c r="S120" s="35" t="n">
        <v>1</v>
      </c>
      <c r="T120" s="35" t="n">
        <v>0</v>
      </c>
      <c r="U120" s="35" t="n">
        <v>0</v>
      </c>
      <c r="V120" s="35" t="n">
        <v>0</v>
      </c>
      <c r="W120" s="35" t="n">
        <v>0</v>
      </c>
      <c r="X120" s="35" t="n">
        <v>0</v>
      </c>
      <c r="Y120" s="35" t="n">
        <v>0</v>
      </c>
      <c r="Z120" s="35" t="n">
        <v>1</v>
      </c>
      <c r="AA120" s="35" t="n">
        <v>0</v>
      </c>
      <c r="AB120" s="35" t="n">
        <v>0</v>
      </c>
      <c r="AC120" s="33" t="s">
        <v>221</v>
      </c>
      <c r="AD120" s="36" t="n">
        <f aca="false">B120-B119</f>
        <v>0.125</v>
      </c>
    </row>
    <row r="121" customFormat="false" ht="15" hidden="false" customHeight="false" outlineLevel="0" collapsed="false">
      <c r="A121" s="30" t="n">
        <v>118</v>
      </c>
      <c r="B121" s="31" t="n">
        <f aca="false">Summary!$B$5+IF(D121=1,0,IF(C121=1,Summary!$B$6,NA()))+(MATCH(1,E121:L121,0)-1)*Summary!$B$7+(MATCH(1,M121:T121,0)-1)*Summary!$B$8+(MATCH(1,U121:AB121,0)-1)*Summary!$B$9</f>
        <v>44.75</v>
      </c>
      <c r="C121" s="32" t="n">
        <v>0</v>
      </c>
      <c r="D121" s="32" t="n">
        <v>1</v>
      </c>
      <c r="E121" s="32" t="n">
        <v>0</v>
      </c>
      <c r="F121" s="32" t="n">
        <v>1</v>
      </c>
      <c r="G121" s="32" t="n">
        <v>0</v>
      </c>
      <c r="H121" s="32" t="n">
        <v>0</v>
      </c>
      <c r="I121" s="32" t="n">
        <v>0</v>
      </c>
      <c r="J121" s="32" t="n">
        <v>0</v>
      </c>
      <c r="K121" s="32" t="n">
        <v>0</v>
      </c>
      <c r="L121" s="32" t="n">
        <v>0</v>
      </c>
      <c r="M121" s="32" t="n">
        <v>0</v>
      </c>
      <c r="N121" s="32" t="n">
        <v>0</v>
      </c>
      <c r="O121" s="32" t="n">
        <v>0</v>
      </c>
      <c r="P121" s="32" t="n">
        <v>0</v>
      </c>
      <c r="Q121" s="32" t="n">
        <v>0</v>
      </c>
      <c r="R121" s="32" t="n">
        <v>0</v>
      </c>
      <c r="S121" s="32" t="n">
        <v>1</v>
      </c>
      <c r="T121" s="32" t="n">
        <v>0</v>
      </c>
      <c r="U121" s="32" t="n">
        <v>0</v>
      </c>
      <c r="V121" s="32" t="n">
        <v>0</v>
      </c>
      <c r="W121" s="32" t="n">
        <v>0</v>
      </c>
      <c r="X121" s="32" t="n">
        <v>0</v>
      </c>
      <c r="Y121" s="32" t="n">
        <v>0</v>
      </c>
      <c r="Z121" s="32" t="n">
        <v>0</v>
      </c>
      <c r="AA121" s="32" t="n">
        <v>1</v>
      </c>
      <c r="AB121" s="32" t="n">
        <v>0</v>
      </c>
      <c r="AC121" s="30" t="s">
        <v>222</v>
      </c>
      <c r="AD121" s="37" t="n">
        <f aca="false">B121-B120</f>
        <v>0.125</v>
      </c>
    </row>
    <row r="122" customFormat="false" ht="15" hidden="false" customHeight="false" outlineLevel="0" collapsed="false">
      <c r="A122" s="33" t="n">
        <v>119</v>
      </c>
      <c r="B122" s="34" t="n">
        <f aca="false">Summary!$B$5+IF(D122=1,0,IF(C122=1,Summary!$B$6,NA()))+(MATCH(1,E122:L122,0)-1)*Summary!$B$7+(MATCH(1,M122:T122,0)-1)*Summary!$B$8+(MATCH(1,U122:AB122,0)-1)*Summary!$B$9</f>
        <v>44.875</v>
      </c>
      <c r="C122" s="35" t="n">
        <v>0</v>
      </c>
      <c r="D122" s="35" t="n">
        <v>1</v>
      </c>
      <c r="E122" s="35" t="n">
        <v>0</v>
      </c>
      <c r="F122" s="35" t="n">
        <v>1</v>
      </c>
      <c r="G122" s="35" t="n">
        <v>0</v>
      </c>
      <c r="H122" s="35" t="n">
        <v>0</v>
      </c>
      <c r="I122" s="35" t="n">
        <v>0</v>
      </c>
      <c r="J122" s="35" t="n">
        <v>0</v>
      </c>
      <c r="K122" s="35" t="n">
        <v>0</v>
      </c>
      <c r="L122" s="35" t="n">
        <v>0</v>
      </c>
      <c r="M122" s="35" t="n">
        <v>0</v>
      </c>
      <c r="N122" s="35" t="n">
        <v>0</v>
      </c>
      <c r="O122" s="35" t="n">
        <v>0</v>
      </c>
      <c r="P122" s="35" t="n">
        <v>0</v>
      </c>
      <c r="Q122" s="35" t="n">
        <v>0</v>
      </c>
      <c r="R122" s="35" t="n">
        <v>0</v>
      </c>
      <c r="S122" s="35" t="n">
        <v>1</v>
      </c>
      <c r="T122" s="35" t="n">
        <v>0</v>
      </c>
      <c r="U122" s="35" t="n">
        <v>0</v>
      </c>
      <c r="V122" s="35" t="n">
        <v>0</v>
      </c>
      <c r="W122" s="35" t="n">
        <v>0</v>
      </c>
      <c r="X122" s="35" t="n">
        <v>0</v>
      </c>
      <c r="Y122" s="35" t="n">
        <v>0</v>
      </c>
      <c r="Z122" s="35" t="n">
        <v>0</v>
      </c>
      <c r="AA122" s="35" t="n">
        <v>0</v>
      </c>
      <c r="AB122" s="35" t="n">
        <v>1</v>
      </c>
      <c r="AC122" s="33" t="s">
        <v>223</v>
      </c>
      <c r="AD122" s="36" t="n">
        <f aca="false">B122-B121</f>
        <v>0.125</v>
      </c>
    </row>
    <row r="123" customFormat="false" ht="15" hidden="false" customHeight="false" outlineLevel="0" collapsed="false">
      <c r="A123" s="30" t="n">
        <v>120</v>
      </c>
      <c r="B123" s="31" t="n">
        <f aca="false">Summary!$B$5+IF(D123=1,0,IF(C123=1,Summary!$B$6,NA()))+(MATCH(1,E123:L123,0)-1)*Summary!$B$7+(MATCH(1,M123:T123,0)-1)*Summary!$B$8+(MATCH(1,U123:AB123,0)-1)*Summary!$B$9</f>
        <v>45</v>
      </c>
      <c r="C123" s="32" t="n">
        <v>0</v>
      </c>
      <c r="D123" s="32" t="n">
        <v>1</v>
      </c>
      <c r="E123" s="32" t="n">
        <v>0</v>
      </c>
      <c r="F123" s="32" t="n">
        <v>1</v>
      </c>
      <c r="G123" s="32" t="n">
        <v>0</v>
      </c>
      <c r="H123" s="32" t="n">
        <v>0</v>
      </c>
      <c r="I123" s="32" t="n">
        <v>0</v>
      </c>
      <c r="J123" s="32" t="n">
        <v>0</v>
      </c>
      <c r="K123" s="32" t="n">
        <v>0</v>
      </c>
      <c r="L123" s="32" t="n">
        <v>0</v>
      </c>
      <c r="M123" s="32" t="n">
        <v>0</v>
      </c>
      <c r="N123" s="32" t="n">
        <v>0</v>
      </c>
      <c r="O123" s="32" t="n">
        <v>0</v>
      </c>
      <c r="P123" s="32" t="n">
        <v>0</v>
      </c>
      <c r="Q123" s="32" t="n">
        <v>0</v>
      </c>
      <c r="R123" s="32" t="n">
        <v>0</v>
      </c>
      <c r="S123" s="32" t="n">
        <v>0</v>
      </c>
      <c r="T123" s="32" t="n">
        <v>1</v>
      </c>
      <c r="U123" s="32" t="n">
        <v>1</v>
      </c>
      <c r="V123" s="32" t="n">
        <v>0</v>
      </c>
      <c r="W123" s="32" t="n">
        <v>0</v>
      </c>
      <c r="X123" s="32" t="n">
        <v>0</v>
      </c>
      <c r="Y123" s="32" t="n">
        <v>0</v>
      </c>
      <c r="Z123" s="32" t="n">
        <v>0</v>
      </c>
      <c r="AA123" s="32" t="n">
        <v>0</v>
      </c>
      <c r="AB123" s="32" t="n">
        <v>0</v>
      </c>
      <c r="AC123" s="30" t="s">
        <v>224</v>
      </c>
      <c r="AD123" s="37" t="n">
        <f aca="false">B123-B122</f>
        <v>0.125</v>
      </c>
    </row>
    <row r="124" customFormat="false" ht="15" hidden="false" customHeight="false" outlineLevel="0" collapsed="false">
      <c r="A124" s="33" t="n">
        <v>121</v>
      </c>
      <c r="B124" s="34" t="n">
        <f aca="false">Summary!$B$5+IF(D124=1,0,IF(C124=1,Summary!$B$6,NA()))+(MATCH(1,E124:L124,0)-1)*Summary!$B$7+(MATCH(1,M124:T124,0)-1)*Summary!$B$8+(MATCH(1,U124:AB124,0)-1)*Summary!$B$9</f>
        <v>45.125</v>
      </c>
      <c r="C124" s="35" t="n">
        <v>0</v>
      </c>
      <c r="D124" s="35" t="n">
        <v>1</v>
      </c>
      <c r="E124" s="35" t="n">
        <v>0</v>
      </c>
      <c r="F124" s="35" t="n">
        <v>1</v>
      </c>
      <c r="G124" s="35" t="n">
        <v>0</v>
      </c>
      <c r="H124" s="35" t="n">
        <v>0</v>
      </c>
      <c r="I124" s="35" t="n">
        <v>0</v>
      </c>
      <c r="J124" s="35" t="n">
        <v>0</v>
      </c>
      <c r="K124" s="35" t="n">
        <v>0</v>
      </c>
      <c r="L124" s="35" t="n">
        <v>0</v>
      </c>
      <c r="M124" s="35" t="n">
        <v>0</v>
      </c>
      <c r="N124" s="35" t="n">
        <v>0</v>
      </c>
      <c r="O124" s="35" t="n">
        <v>0</v>
      </c>
      <c r="P124" s="35" t="n">
        <v>0</v>
      </c>
      <c r="Q124" s="35" t="n">
        <v>0</v>
      </c>
      <c r="R124" s="35" t="n">
        <v>0</v>
      </c>
      <c r="S124" s="35" t="n">
        <v>0</v>
      </c>
      <c r="T124" s="35" t="n">
        <v>1</v>
      </c>
      <c r="U124" s="35" t="n">
        <v>0</v>
      </c>
      <c r="V124" s="35" t="n">
        <v>1</v>
      </c>
      <c r="W124" s="35" t="n">
        <v>0</v>
      </c>
      <c r="X124" s="35" t="n">
        <v>0</v>
      </c>
      <c r="Y124" s="35" t="n">
        <v>0</v>
      </c>
      <c r="Z124" s="35" t="n">
        <v>0</v>
      </c>
      <c r="AA124" s="35" t="n">
        <v>0</v>
      </c>
      <c r="AB124" s="35" t="n">
        <v>0</v>
      </c>
      <c r="AC124" s="33" t="s">
        <v>225</v>
      </c>
      <c r="AD124" s="36" t="n">
        <f aca="false">B124-B123</f>
        <v>0.125</v>
      </c>
    </row>
    <row r="125" customFormat="false" ht="15" hidden="false" customHeight="false" outlineLevel="0" collapsed="false">
      <c r="A125" s="30" t="n">
        <v>122</v>
      </c>
      <c r="B125" s="31" t="n">
        <f aca="false">Summary!$B$5+IF(D125=1,0,IF(C125=1,Summary!$B$6,NA()))+(MATCH(1,E125:L125,0)-1)*Summary!$B$7+(MATCH(1,M125:T125,0)-1)*Summary!$B$8+(MATCH(1,U125:AB125,0)-1)*Summary!$B$9</f>
        <v>45.25</v>
      </c>
      <c r="C125" s="32" t="n">
        <v>0</v>
      </c>
      <c r="D125" s="32" t="n">
        <v>1</v>
      </c>
      <c r="E125" s="32" t="n">
        <v>0</v>
      </c>
      <c r="F125" s="32" t="n">
        <v>1</v>
      </c>
      <c r="G125" s="32" t="n">
        <v>0</v>
      </c>
      <c r="H125" s="32" t="n">
        <v>0</v>
      </c>
      <c r="I125" s="32" t="n">
        <v>0</v>
      </c>
      <c r="J125" s="32" t="n">
        <v>0</v>
      </c>
      <c r="K125" s="32" t="n">
        <v>0</v>
      </c>
      <c r="L125" s="32" t="n">
        <v>0</v>
      </c>
      <c r="M125" s="32" t="n">
        <v>0</v>
      </c>
      <c r="N125" s="32" t="n">
        <v>0</v>
      </c>
      <c r="O125" s="32" t="n">
        <v>0</v>
      </c>
      <c r="P125" s="32" t="n">
        <v>0</v>
      </c>
      <c r="Q125" s="32" t="n">
        <v>0</v>
      </c>
      <c r="R125" s="32" t="n">
        <v>0</v>
      </c>
      <c r="S125" s="32" t="n">
        <v>0</v>
      </c>
      <c r="T125" s="32" t="n">
        <v>1</v>
      </c>
      <c r="U125" s="32" t="n">
        <v>0</v>
      </c>
      <c r="V125" s="32" t="n">
        <v>0</v>
      </c>
      <c r="W125" s="32" t="n">
        <v>1</v>
      </c>
      <c r="X125" s="32" t="n">
        <v>0</v>
      </c>
      <c r="Y125" s="32" t="n">
        <v>0</v>
      </c>
      <c r="Z125" s="32" t="n">
        <v>0</v>
      </c>
      <c r="AA125" s="32" t="n">
        <v>0</v>
      </c>
      <c r="AB125" s="32" t="n">
        <v>0</v>
      </c>
      <c r="AC125" s="30" t="s">
        <v>226</v>
      </c>
      <c r="AD125" s="37" t="n">
        <f aca="false">B125-B124</f>
        <v>0.125</v>
      </c>
    </row>
    <row r="126" customFormat="false" ht="15" hidden="false" customHeight="false" outlineLevel="0" collapsed="false">
      <c r="A126" s="33" t="n">
        <v>123</v>
      </c>
      <c r="B126" s="34" t="n">
        <f aca="false">Summary!$B$5+IF(D126=1,0,IF(C126=1,Summary!$B$6,NA()))+(MATCH(1,E126:L126,0)-1)*Summary!$B$7+(MATCH(1,M126:T126,0)-1)*Summary!$B$8+(MATCH(1,U126:AB126,0)-1)*Summary!$B$9</f>
        <v>45.375</v>
      </c>
      <c r="C126" s="35" t="n">
        <v>0</v>
      </c>
      <c r="D126" s="35" t="n">
        <v>1</v>
      </c>
      <c r="E126" s="35" t="n">
        <v>0</v>
      </c>
      <c r="F126" s="35" t="n">
        <v>1</v>
      </c>
      <c r="G126" s="35" t="n">
        <v>0</v>
      </c>
      <c r="H126" s="35" t="n">
        <v>0</v>
      </c>
      <c r="I126" s="35" t="n">
        <v>0</v>
      </c>
      <c r="J126" s="35" t="n">
        <v>0</v>
      </c>
      <c r="K126" s="35" t="n">
        <v>0</v>
      </c>
      <c r="L126" s="35" t="n">
        <v>0</v>
      </c>
      <c r="M126" s="35" t="n">
        <v>0</v>
      </c>
      <c r="N126" s="35" t="n">
        <v>0</v>
      </c>
      <c r="O126" s="35" t="n">
        <v>0</v>
      </c>
      <c r="P126" s="35" t="n">
        <v>0</v>
      </c>
      <c r="Q126" s="35" t="n">
        <v>0</v>
      </c>
      <c r="R126" s="35" t="n">
        <v>0</v>
      </c>
      <c r="S126" s="35" t="n">
        <v>0</v>
      </c>
      <c r="T126" s="35" t="n">
        <v>1</v>
      </c>
      <c r="U126" s="35" t="n">
        <v>0</v>
      </c>
      <c r="V126" s="35" t="n">
        <v>0</v>
      </c>
      <c r="W126" s="35" t="n">
        <v>0</v>
      </c>
      <c r="X126" s="35" t="n">
        <v>1</v>
      </c>
      <c r="Y126" s="35" t="n">
        <v>0</v>
      </c>
      <c r="Z126" s="35" t="n">
        <v>0</v>
      </c>
      <c r="AA126" s="35" t="n">
        <v>0</v>
      </c>
      <c r="AB126" s="35" t="n">
        <v>0</v>
      </c>
      <c r="AC126" s="33" t="s">
        <v>227</v>
      </c>
      <c r="AD126" s="36" t="n">
        <f aca="false">B126-B125</f>
        <v>0.125</v>
      </c>
    </row>
    <row r="127" customFormat="false" ht="15" hidden="false" customHeight="false" outlineLevel="0" collapsed="false">
      <c r="A127" s="30" t="n">
        <v>124</v>
      </c>
      <c r="B127" s="31" t="n">
        <f aca="false">Summary!$B$5+IF(D127=1,0,IF(C127=1,Summary!$B$6,NA()))+(MATCH(1,E127:L127,0)-1)*Summary!$B$7+(MATCH(1,M127:T127,0)-1)*Summary!$B$8+(MATCH(1,U127:AB127,0)-1)*Summary!$B$9</f>
        <v>45.5</v>
      </c>
      <c r="C127" s="32" t="n">
        <v>0</v>
      </c>
      <c r="D127" s="32" t="n">
        <v>1</v>
      </c>
      <c r="E127" s="32" t="n">
        <v>0</v>
      </c>
      <c r="F127" s="32" t="n">
        <v>1</v>
      </c>
      <c r="G127" s="32" t="n">
        <v>0</v>
      </c>
      <c r="H127" s="32" t="n">
        <v>0</v>
      </c>
      <c r="I127" s="32" t="n">
        <v>0</v>
      </c>
      <c r="J127" s="32" t="n">
        <v>0</v>
      </c>
      <c r="K127" s="32" t="n">
        <v>0</v>
      </c>
      <c r="L127" s="32" t="n">
        <v>0</v>
      </c>
      <c r="M127" s="32" t="n">
        <v>0</v>
      </c>
      <c r="N127" s="32" t="n">
        <v>0</v>
      </c>
      <c r="O127" s="32" t="n">
        <v>0</v>
      </c>
      <c r="P127" s="32" t="n">
        <v>0</v>
      </c>
      <c r="Q127" s="32" t="n">
        <v>0</v>
      </c>
      <c r="R127" s="32" t="n">
        <v>0</v>
      </c>
      <c r="S127" s="32" t="n">
        <v>0</v>
      </c>
      <c r="T127" s="32" t="n">
        <v>1</v>
      </c>
      <c r="U127" s="32" t="n">
        <v>0</v>
      </c>
      <c r="V127" s="32" t="n">
        <v>0</v>
      </c>
      <c r="W127" s="32" t="n">
        <v>0</v>
      </c>
      <c r="X127" s="32" t="n">
        <v>0</v>
      </c>
      <c r="Y127" s="32" t="n">
        <v>1</v>
      </c>
      <c r="Z127" s="32" t="n">
        <v>0</v>
      </c>
      <c r="AA127" s="32" t="n">
        <v>0</v>
      </c>
      <c r="AB127" s="32" t="n">
        <v>0</v>
      </c>
      <c r="AC127" s="30" t="s">
        <v>228</v>
      </c>
      <c r="AD127" s="37" t="n">
        <f aca="false">B127-B126</f>
        <v>0.125</v>
      </c>
    </row>
    <row r="128" customFormat="false" ht="15" hidden="false" customHeight="false" outlineLevel="0" collapsed="false">
      <c r="A128" s="33" t="n">
        <v>125</v>
      </c>
      <c r="B128" s="34" t="n">
        <f aca="false">Summary!$B$5+IF(D128=1,0,IF(C128=1,Summary!$B$6,NA()))+(MATCH(1,E128:L128,0)-1)*Summary!$B$7+(MATCH(1,M128:T128,0)-1)*Summary!$B$8+(MATCH(1,U128:AB128,0)-1)*Summary!$B$9</f>
        <v>45.625</v>
      </c>
      <c r="C128" s="35" t="n">
        <v>0</v>
      </c>
      <c r="D128" s="35" t="n">
        <v>1</v>
      </c>
      <c r="E128" s="35" t="n">
        <v>0</v>
      </c>
      <c r="F128" s="35" t="n">
        <v>1</v>
      </c>
      <c r="G128" s="35" t="n">
        <v>0</v>
      </c>
      <c r="H128" s="35" t="n">
        <v>0</v>
      </c>
      <c r="I128" s="35" t="n">
        <v>0</v>
      </c>
      <c r="J128" s="35" t="n">
        <v>0</v>
      </c>
      <c r="K128" s="35" t="n">
        <v>0</v>
      </c>
      <c r="L128" s="35" t="n">
        <v>0</v>
      </c>
      <c r="M128" s="35" t="n">
        <v>0</v>
      </c>
      <c r="N128" s="35" t="n">
        <v>0</v>
      </c>
      <c r="O128" s="35" t="n">
        <v>0</v>
      </c>
      <c r="P128" s="35" t="n">
        <v>0</v>
      </c>
      <c r="Q128" s="35" t="n">
        <v>0</v>
      </c>
      <c r="R128" s="35" t="n">
        <v>0</v>
      </c>
      <c r="S128" s="35" t="n">
        <v>0</v>
      </c>
      <c r="T128" s="35" t="n">
        <v>1</v>
      </c>
      <c r="U128" s="35" t="n">
        <v>0</v>
      </c>
      <c r="V128" s="35" t="n">
        <v>0</v>
      </c>
      <c r="W128" s="35" t="n">
        <v>0</v>
      </c>
      <c r="X128" s="35" t="n">
        <v>0</v>
      </c>
      <c r="Y128" s="35" t="n">
        <v>0</v>
      </c>
      <c r="Z128" s="35" t="n">
        <v>1</v>
      </c>
      <c r="AA128" s="35" t="n">
        <v>0</v>
      </c>
      <c r="AB128" s="35" t="n">
        <v>0</v>
      </c>
      <c r="AC128" s="33" t="s">
        <v>229</v>
      </c>
      <c r="AD128" s="36" t="n">
        <f aca="false">B128-B127</f>
        <v>0.125</v>
      </c>
    </row>
    <row r="129" customFormat="false" ht="15" hidden="false" customHeight="false" outlineLevel="0" collapsed="false">
      <c r="A129" s="30" t="n">
        <v>126</v>
      </c>
      <c r="B129" s="31" t="n">
        <f aca="false">Summary!$B$5+IF(D129=1,0,IF(C129=1,Summary!$B$6,NA()))+(MATCH(1,E129:L129,0)-1)*Summary!$B$7+(MATCH(1,M129:T129,0)-1)*Summary!$B$8+(MATCH(1,U129:AB129,0)-1)*Summary!$B$9</f>
        <v>45.75</v>
      </c>
      <c r="C129" s="32" t="n">
        <v>0</v>
      </c>
      <c r="D129" s="32" t="n">
        <v>1</v>
      </c>
      <c r="E129" s="32" t="n">
        <v>0</v>
      </c>
      <c r="F129" s="32" t="n">
        <v>1</v>
      </c>
      <c r="G129" s="32" t="n">
        <v>0</v>
      </c>
      <c r="H129" s="32" t="n">
        <v>0</v>
      </c>
      <c r="I129" s="32" t="n">
        <v>0</v>
      </c>
      <c r="J129" s="32" t="n">
        <v>0</v>
      </c>
      <c r="K129" s="32" t="n">
        <v>0</v>
      </c>
      <c r="L129" s="32" t="n">
        <v>0</v>
      </c>
      <c r="M129" s="32" t="n">
        <v>0</v>
      </c>
      <c r="N129" s="32" t="n">
        <v>0</v>
      </c>
      <c r="O129" s="32" t="n">
        <v>0</v>
      </c>
      <c r="P129" s="32" t="n">
        <v>0</v>
      </c>
      <c r="Q129" s="32" t="n">
        <v>0</v>
      </c>
      <c r="R129" s="32" t="n">
        <v>0</v>
      </c>
      <c r="S129" s="32" t="n">
        <v>0</v>
      </c>
      <c r="T129" s="32" t="n">
        <v>1</v>
      </c>
      <c r="U129" s="32" t="n">
        <v>0</v>
      </c>
      <c r="V129" s="32" t="n">
        <v>0</v>
      </c>
      <c r="W129" s="32" t="n">
        <v>0</v>
      </c>
      <c r="X129" s="32" t="n">
        <v>0</v>
      </c>
      <c r="Y129" s="32" t="n">
        <v>0</v>
      </c>
      <c r="Z129" s="32" t="n">
        <v>0</v>
      </c>
      <c r="AA129" s="32" t="n">
        <v>1</v>
      </c>
      <c r="AB129" s="32" t="n">
        <v>0</v>
      </c>
      <c r="AC129" s="30" t="s">
        <v>230</v>
      </c>
      <c r="AD129" s="37" t="n">
        <f aca="false">B129-B128</f>
        <v>0.125</v>
      </c>
    </row>
    <row r="130" customFormat="false" ht="15" hidden="false" customHeight="false" outlineLevel="0" collapsed="false">
      <c r="A130" s="33" t="n">
        <v>127</v>
      </c>
      <c r="B130" s="34" t="n">
        <f aca="false">Summary!$B$5+IF(D130=1,0,IF(C130=1,Summary!$B$6,NA()))+(MATCH(1,E130:L130,0)-1)*Summary!$B$7+(MATCH(1,M130:T130,0)-1)*Summary!$B$8+(MATCH(1,U130:AB130,0)-1)*Summary!$B$9</f>
        <v>45.875</v>
      </c>
      <c r="C130" s="35" t="n">
        <v>0</v>
      </c>
      <c r="D130" s="35" t="n">
        <v>1</v>
      </c>
      <c r="E130" s="35" t="n">
        <v>0</v>
      </c>
      <c r="F130" s="35" t="n">
        <v>1</v>
      </c>
      <c r="G130" s="35" t="n">
        <v>0</v>
      </c>
      <c r="H130" s="35" t="n">
        <v>0</v>
      </c>
      <c r="I130" s="35" t="n">
        <v>0</v>
      </c>
      <c r="J130" s="35" t="n">
        <v>0</v>
      </c>
      <c r="K130" s="35" t="n">
        <v>0</v>
      </c>
      <c r="L130" s="35" t="n">
        <v>0</v>
      </c>
      <c r="M130" s="35" t="n">
        <v>0</v>
      </c>
      <c r="N130" s="35" t="n">
        <v>0</v>
      </c>
      <c r="O130" s="35" t="n">
        <v>0</v>
      </c>
      <c r="P130" s="35" t="n">
        <v>0</v>
      </c>
      <c r="Q130" s="35" t="n">
        <v>0</v>
      </c>
      <c r="R130" s="35" t="n">
        <v>0</v>
      </c>
      <c r="S130" s="35" t="n">
        <v>0</v>
      </c>
      <c r="T130" s="35" t="n">
        <v>1</v>
      </c>
      <c r="U130" s="35" t="n">
        <v>0</v>
      </c>
      <c r="V130" s="35" t="n">
        <v>0</v>
      </c>
      <c r="W130" s="35" t="n">
        <v>0</v>
      </c>
      <c r="X130" s="35" t="n">
        <v>0</v>
      </c>
      <c r="Y130" s="35" t="n">
        <v>0</v>
      </c>
      <c r="Z130" s="35" t="n">
        <v>0</v>
      </c>
      <c r="AA130" s="35" t="n">
        <v>0</v>
      </c>
      <c r="AB130" s="35" t="n">
        <v>1</v>
      </c>
      <c r="AC130" s="33" t="s">
        <v>231</v>
      </c>
      <c r="AD130" s="36" t="n">
        <f aca="false">B130-B129</f>
        <v>0.125</v>
      </c>
    </row>
    <row r="131" customFormat="false" ht="15" hidden="false" customHeight="false" outlineLevel="0" collapsed="false">
      <c r="A131" s="30" t="n">
        <v>128</v>
      </c>
      <c r="B131" s="31" t="n">
        <f aca="false">Summary!$B$5+IF(D131=1,0,IF(C131=1,Summary!$B$6,NA()))+(MATCH(1,E131:L131,0)-1)*Summary!$B$7+(MATCH(1,M131:T131,0)-1)*Summary!$B$8+(MATCH(1,U131:AB131,0)-1)*Summary!$B$9</f>
        <v>46</v>
      </c>
      <c r="C131" s="32" t="n">
        <v>0</v>
      </c>
      <c r="D131" s="32" t="n">
        <v>1</v>
      </c>
      <c r="E131" s="32" t="n">
        <v>0</v>
      </c>
      <c r="F131" s="32" t="n">
        <v>0</v>
      </c>
      <c r="G131" s="32" t="n">
        <v>1</v>
      </c>
      <c r="H131" s="32" t="n">
        <v>0</v>
      </c>
      <c r="I131" s="32" t="n">
        <v>0</v>
      </c>
      <c r="J131" s="32" t="n">
        <v>0</v>
      </c>
      <c r="K131" s="32" t="n">
        <v>0</v>
      </c>
      <c r="L131" s="32" t="n">
        <v>0</v>
      </c>
      <c r="M131" s="32" t="n">
        <v>1</v>
      </c>
      <c r="N131" s="32" t="n">
        <v>0</v>
      </c>
      <c r="O131" s="32" t="n">
        <v>0</v>
      </c>
      <c r="P131" s="32" t="n">
        <v>0</v>
      </c>
      <c r="Q131" s="32" t="n">
        <v>0</v>
      </c>
      <c r="R131" s="32" t="n">
        <v>0</v>
      </c>
      <c r="S131" s="32" t="n">
        <v>0</v>
      </c>
      <c r="T131" s="32" t="n">
        <v>0</v>
      </c>
      <c r="U131" s="32" t="n">
        <v>1</v>
      </c>
      <c r="V131" s="32" t="n">
        <v>0</v>
      </c>
      <c r="W131" s="32" t="n">
        <v>0</v>
      </c>
      <c r="X131" s="32" t="n">
        <v>0</v>
      </c>
      <c r="Y131" s="32" t="n">
        <v>0</v>
      </c>
      <c r="Z131" s="32" t="n">
        <v>0</v>
      </c>
      <c r="AA131" s="32" t="n">
        <v>0</v>
      </c>
      <c r="AB131" s="32" t="n">
        <v>0</v>
      </c>
      <c r="AC131" s="30" t="s">
        <v>232</v>
      </c>
      <c r="AD131" s="37" t="n">
        <f aca="false">B131-B130</f>
        <v>0.125</v>
      </c>
    </row>
    <row r="132" customFormat="false" ht="15" hidden="false" customHeight="false" outlineLevel="0" collapsed="false">
      <c r="A132" s="33" t="n">
        <v>129</v>
      </c>
      <c r="B132" s="34" t="n">
        <f aca="false">Summary!$B$5+IF(D132=1,0,IF(C132=1,Summary!$B$6,NA()))+(MATCH(1,E132:L132,0)-1)*Summary!$B$7+(MATCH(1,M132:T132,0)-1)*Summary!$B$8+(MATCH(1,U132:AB132,0)-1)*Summary!$B$9</f>
        <v>46.125</v>
      </c>
      <c r="C132" s="35" t="n">
        <v>0</v>
      </c>
      <c r="D132" s="35" t="n">
        <v>1</v>
      </c>
      <c r="E132" s="35" t="n">
        <v>0</v>
      </c>
      <c r="F132" s="35" t="n">
        <v>0</v>
      </c>
      <c r="G132" s="35" t="n">
        <v>1</v>
      </c>
      <c r="H132" s="35" t="n">
        <v>0</v>
      </c>
      <c r="I132" s="35" t="n">
        <v>0</v>
      </c>
      <c r="J132" s="35" t="n">
        <v>0</v>
      </c>
      <c r="K132" s="35" t="n">
        <v>0</v>
      </c>
      <c r="L132" s="35" t="n">
        <v>0</v>
      </c>
      <c r="M132" s="35" t="n">
        <v>1</v>
      </c>
      <c r="N132" s="35" t="n">
        <v>0</v>
      </c>
      <c r="O132" s="35" t="n">
        <v>0</v>
      </c>
      <c r="P132" s="35" t="n">
        <v>0</v>
      </c>
      <c r="Q132" s="35" t="n">
        <v>0</v>
      </c>
      <c r="R132" s="35" t="n">
        <v>0</v>
      </c>
      <c r="S132" s="35" t="n">
        <v>0</v>
      </c>
      <c r="T132" s="35" t="n">
        <v>0</v>
      </c>
      <c r="U132" s="35" t="n">
        <v>0</v>
      </c>
      <c r="V132" s="35" t="n">
        <v>1</v>
      </c>
      <c r="W132" s="35" t="n">
        <v>0</v>
      </c>
      <c r="X132" s="35" t="n">
        <v>0</v>
      </c>
      <c r="Y132" s="35" t="n">
        <v>0</v>
      </c>
      <c r="Z132" s="35" t="n">
        <v>0</v>
      </c>
      <c r="AA132" s="35" t="n">
        <v>0</v>
      </c>
      <c r="AB132" s="35" t="n">
        <v>0</v>
      </c>
      <c r="AC132" s="33" t="s">
        <v>233</v>
      </c>
      <c r="AD132" s="36" t="n">
        <f aca="false">B132-B131</f>
        <v>0.125</v>
      </c>
    </row>
    <row r="133" customFormat="false" ht="15" hidden="false" customHeight="false" outlineLevel="0" collapsed="false">
      <c r="A133" s="30" t="n">
        <v>130</v>
      </c>
      <c r="B133" s="31" t="n">
        <f aca="false">Summary!$B$5+IF(D133=1,0,IF(C133=1,Summary!$B$6,NA()))+(MATCH(1,E133:L133,0)-1)*Summary!$B$7+(MATCH(1,M133:T133,0)-1)*Summary!$B$8+(MATCH(1,U133:AB133,0)-1)*Summary!$B$9</f>
        <v>46.25</v>
      </c>
      <c r="C133" s="32" t="n">
        <v>0</v>
      </c>
      <c r="D133" s="32" t="n">
        <v>1</v>
      </c>
      <c r="E133" s="32" t="n">
        <v>0</v>
      </c>
      <c r="F133" s="32" t="n">
        <v>0</v>
      </c>
      <c r="G133" s="32" t="n">
        <v>1</v>
      </c>
      <c r="H133" s="32" t="n">
        <v>0</v>
      </c>
      <c r="I133" s="32" t="n">
        <v>0</v>
      </c>
      <c r="J133" s="32" t="n">
        <v>0</v>
      </c>
      <c r="K133" s="32" t="n">
        <v>0</v>
      </c>
      <c r="L133" s="32" t="n">
        <v>0</v>
      </c>
      <c r="M133" s="32" t="n">
        <v>1</v>
      </c>
      <c r="N133" s="32" t="n">
        <v>0</v>
      </c>
      <c r="O133" s="32" t="n">
        <v>0</v>
      </c>
      <c r="P133" s="32" t="n">
        <v>0</v>
      </c>
      <c r="Q133" s="32" t="n">
        <v>0</v>
      </c>
      <c r="R133" s="32" t="n">
        <v>0</v>
      </c>
      <c r="S133" s="32" t="n">
        <v>0</v>
      </c>
      <c r="T133" s="32" t="n">
        <v>0</v>
      </c>
      <c r="U133" s="32" t="n">
        <v>0</v>
      </c>
      <c r="V133" s="32" t="n">
        <v>0</v>
      </c>
      <c r="W133" s="32" t="n">
        <v>1</v>
      </c>
      <c r="X133" s="32" t="n">
        <v>0</v>
      </c>
      <c r="Y133" s="32" t="n">
        <v>0</v>
      </c>
      <c r="Z133" s="32" t="n">
        <v>0</v>
      </c>
      <c r="AA133" s="32" t="n">
        <v>0</v>
      </c>
      <c r="AB133" s="32" t="n">
        <v>0</v>
      </c>
      <c r="AC133" s="30" t="s">
        <v>234</v>
      </c>
      <c r="AD133" s="37" t="n">
        <f aca="false">B133-B132</f>
        <v>0.125</v>
      </c>
    </row>
    <row r="134" customFormat="false" ht="15" hidden="false" customHeight="false" outlineLevel="0" collapsed="false">
      <c r="A134" s="33" t="n">
        <v>131</v>
      </c>
      <c r="B134" s="34" t="n">
        <f aca="false">Summary!$B$5+IF(D134=1,0,IF(C134=1,Summary!$B$6,NA()))+(MATCH(1,E134:L134,0)-1)*Summary!$B$7+(MATCH(1,M134:T134,0)-1)*Summary!$B$8+(MATCH(1,U134:AB134,0)-1)*Summary!$B$9</f>
        <v>46.375</v>
      </c>
      <c r="C134" s="35" t="n">
        <v>0</v>
      </c>
      <c r="D134" s="35" t="n">
        <v>1</v>
      </c>
      <c r="E134" s="35" t="n">
        <v>0</v>
      </c>
      <c r="F134" s="35" t="n">
        <v>0</v>
      </c>
      <c r="G134" s="35" t="n">
        <v>1</v>
      </c>
      <c r="H134" s="35" t="n">
        <v>0</v>
      </c>
      <c r="I134" s="35" t="n">
        <v>0</v>
      </c>
      <c r="J134" s="35" t="n">
        <v>0</v>
      </c>
      <c r="K134" s="35" t="n">
        <v>0</v>
      </c>
      <c r="L134" s="35" t="n">
        <v>0</v>
      </c>
      <c r="M134" s="35" t="n">
        <v>1</v>
      </c>
      <c r="N134" s="35" t="n">
        <v>0</v>
      </c>
      <c r="O134" s="35" t="n">
        <v>0</v>
      </c>
      <c r="P134" s="35" t="n">
        <v>0</v>
      </c>
      <c r="Q134" s="35" t="n">
        <v>0</v>
      </c>
      <c r="R134" s="35" t="n">
        <v>0</v>
      </c>
      <c r="S134" s="35" t="n">
        <v>0</v>
      </c>
      <c r="T134" s="35" t="n">
        <v>0</v>
      </c>
      <c r="U134" s="35" t="n">
        <v>0</v>
      </c>
      <c r="V134" s="35" t="n">
        <v>0</v>
      </c>
      <c r="W134" s="35" t="n">
        <v>0</v>
      </c>
      <c r="X134" s="35" t="n">
        <v>1</v>
      </c>
      <c r="Y134" s="35" t="n">
        <v>0</v>
      </c>
      <c r="Z134" s="35" t="n">
        <v>0</v>
      </c>
      <c r="AA134" s="35" t="n">
        <v>0</v>
      </c>
      <c r="AB134" s="35" t="n">
        <v>0</v>
      </c>
      <c r="AC134" s="33" t="s">
        <v>235</v>
      </c>
      <c r="AD134" s="36" t="n">
        <f aca="false">B134-B133</f>
        <v>0.125</v>
      </c>
    </row>
    <row r="135" customFormat="false" ht="15" hidden="false" customHeight="false" outlineLevel="0" collapsed="false">
      <c r="A135" s="30" t="n">
        <v>132</v>
      </c>
      <c r="B135" s="31" t="n">
        <f aca="false">Summary!$B$5+IF(D135=1,0,IF(C135=1,Summary!$B$6,NA()))+(MATCH(1,E135:L135,0)-1)*Summary!$B$7+(MATCH(1,M135:T135,0)-1)*Summary!$B$8+(MATCH(1,U135:AB135,0)-1)*Summary!$B$9</f>
        <v>46.5</v>
      </c>
      <c r="C135" s="32" t="n">
        <v>0</v>
      </c>
      <c r="D135" s="32" t="n">
        <v>1</v>
      </c>
      <c r="E135" s="32" t="n">
        <v>0</v>
      </c>
      <c r="F135" s="32" t="n">
        <v>0</v>
      </c>
      <c r="G135" s="32" t="n">
        <v>1</v>
      </c>
      <c r="H135" s="32" t="n">
        <v>0</v>
      </c>
      <c r="I135" s="32" t="n">
        <v>0</v>
      </c>
      <c r="J135" s="32" t="n">
        <v>0</v>
      </c>
      <c r="K135" s="32" t="n">
        <v>0</v>
      </c>
      <c r="L135" s="32" t="n">
        <v>0</v>
      </c>
      <c r="M135" s="32" t="n">
        <v>1</v>
      </c>
      <c r="N135" s="32" t="n">
        <v>0</v>
      </c>
      <c r="O135" s="32" t="n">
        <v>0</v>
      </c>
      <c r="P135" s="32" t="n">
        <v>0</v>
      </c>
      <c r="Q135" s="32" t="n">
        <v>0</v>
      </c>
      <c r="R135" s="32" t="n">
        <v>0</v>
      </c>
      <c r="S135" s="32" t="n">
        <v>0</v>
      </c>
      <c r="T135" s="32" t="n">
        <v>0</v>
      </c>
      <c r="U135" s="32" t="n">
        <v>0</v>
      </c>
      <c r="V135" s="32" t="n">
        <v>0</v>
      </c>
      <c r="W135" s="32" t="n">
        <v>0</v>
      </c>
      <c r="X135" s="32" t="n">
        <v>0</v>
      </c>
      <c r="Y135" s="32" t="n">
        <v>1</v>
      </c>
      <c r="Z135" s="32" t="n">
        <v>0</v>
      </c>
      <c r="AA135" s="32" t="n">
        <v>0</v>
      </c>
      <c r="AB135" s="32" t="n">
        <v>0</v>
      </c>
      <c r="AC135" s="30" t="s">
        <v>236</v>
      </c>
      <c r="AD135" s="37" t="n">
        <f aca="false">B135-B134</f>
        <v>0.125</v>
      </c>
    </row>
    <row r="136" customFormat="false" ht="15" hidden="false" customHeight="false" outlineLevel="0" collapsed="false">
      <c r="A136" s="33" t="n">
        <v>133</v>
      </c>
      <c r="B136" s="34" t="n">
        <f aca="false">Summary!$B$5+IF(D136=1,0,IF(C136=1,Summary!$B$6,NA()))+(MATCH(1,E136:L136,0)-1)*Summary!$B$7+(MATCH(1,M136:T136,0)-1)*Summary!$B$8+(MATCH(1,U136:AB136,0)-1)*Summary!$B$9</f>
        <v>46.625</v>
      </c>
      <c r="C136" s="35" t="n">
        <v>0</v>
      </c>
      <c r="D136" s="35" t="n">
        <v>1</v>
      </c>
      <c r="E136" s="35" t="n">
        <v>0</v>
      </c>
      <c r="F136" s="35" t="n">
        <v>0</v>
      </c>
      <c r="G136" s="35" t="n">
        <v>1</v>
      </c>
      <c r="H136" s="35" t="n">
        <v>0</v>
      </c>
      <c r="I136" s="35" t="n">
        <v>0</v>
      </c>
      <c r="J136" s="35" t="n">
        <v>0</v>
      </c>
      <c r="K136" s="35" t="n">
        <v>0</v>
      </c>
      <c r="L136" s="35" t="n">
        <v>0</v>
      </c>
      <c r="M136" s="35" t="n">
        <v>1</v>
      </c>
      <c r="N136" s="35" t="n">
        <v>0</v>
      </c>
      <c r="O136" s="35" t="n">
        <v>0</v>
      </c>
      <c r="P136" s="35" t="n">
        <v>0</v>
      </c>
      <c r="Q136" s="35" t="n">
        <v>0</v>
      </c>
      <c r="R136" s="35" t="n">
        <v>0</v>
      </c>
      <c r="S136" s="35" t="n">
        <v>0</v>
      </c>
      <c r="T136" s="35" t="n">
        <v>0</v>
      </c>
      <c r="U136" s="35" t="n">
        <v>0</v>
      </c>
      <c r="V136" s="35" t="n">
        <v>0</v>
      </c>
      <c r="W136" s="35" t="n">
        <v>0</v>
      </c>
      <c r="X136" s="35" t="n">
        <v>0</v>
      </c>
      <c r="Y136" s="35" t="n">
        <v>0</v>
      </c>
      <c r="Z136" s="35" t="n">
        <v>1</v>
      </c>
      <c r="AA136" s="35" t="n">
        <v>0</v>
      </c>
      <c r="AB136" s="35" t="n">
        <v>0</v>
      </c>
      <c r="AC136" s="33" t="s">
        <v>237</v>
      </c>
      <c r="AD136" s="36" t="n">
        <f aca="false">B136-B135</f>
        <v>0.125</v>
      </c>
    </row>
    <row r="137" customFormat="false" ht="15" hidden="false" customHeight="false" outlineLevel="0" collapsed="false">
      <c r="A137" s="30" t="n">
        <v>134</v>
      </c>
      <c r="B137" s="31" t="n">
        <f aca="false">Summary!$B$5+IF(D137=1,0,IF(C137=1,Summary!$B$6,NA()))+(MATCH(1,E137:L137,0)-1)*Summary!$B$7+(MATCH(1,M137:T137,0)-1)*Summary!$B$8+(MATCH(1,U137:AB137,0)-1)*Summary!$B$9</f>
        <v>46.75</v>
      </c>
      <c r="C137" s="32" t="n">
        <v>0</v>
      </c>
      <c r="D137" s="32" t="n">
        <v>1</v>
      </c>
      <c r="E137" s="32" t="n">
        <v>0</v>
      </c>
      <c r="F137" s="32" t="n">
        <v>0</v>
      </c>
      <c r="G137" s="32" t="n">
        <v>1</v>
      </c>
      <c r="H137" s="32" t="n">
        <v>0</v>
      </c>
      <c r="I137" s="32" t="n">
        <v>0</v>
      </c>
      <c r="J137" s="32" t="n">
        <v>0</v>
      </c>
      <c r="K137" s="32" t="n">
        <v>0</v>
      </c>
      <c r="L137" s="32" t="n">
        <v>0</v>
      </c>
      <c r="M137" s="32" t="n">
        <v>1</v>
      </c>
      <c r="N137" s="32" t="n">
        <v>0</v>
      </c>
      <c r="O137" s="32" t="n">
        <v>0</v>
      </c>
      <c r="P137" s="32" t="n">
        <v>0</v>
      </c>
      <c r="Q137" s="32" t="n">
        <v>0</v>
      </c>
      <c r="R137" s="32" t="n">
        <v>0</v>
      </c>
      <c r="S137" s="32" t="n">
        <v>0</v>
      </c>
      <c r="T137" s="32" t="n">
        <v>0</v>
      </c>
      <c r="U137" s="32" t="n">
        <v>0</v>
      </c>
      <c r="V137" s="32" t="n">
        <v>0</v>
      </c>
      <c r="W137" s="32" t="n">
        <v>0</v>
      </c>
      <c r="X137" s="32" t="n">
        <v>0</v>
      </c>
      <c r="Y137" s="32" t="n">
        <v>0</v>
      </c>
      <c r="Z137" s="32" t="n">
        <v>0</v>
      </c>
      <c r="AA137" s="32" t="n">
        <v>1</v>
      </c>
      <c r="AB137" s="32" t="n">
        <v>0</v>
      </c>
      <c r="AC137" s="30" t="s">
        <v>238</v>
      </c>
      <c r="AD137" s="37" t="n">
        <f aca="false">B137-B136</f>
        <v>0.125</v>
      </c>
    </row>
    <row r="138" customFormat="false" ht="15" hidden="false" customHeight="false" outlineLevel="0" collapsed="false">
      <c r="A138" s="33" t="n">
        <v>135</v>
      </c>
      <c r="B138" s="34" t="n">
        <f aca="false">Summary!$B$5+IF(D138=1,0,IF(C138=1,Summary!$B$6,NA()))+(MATCH(1,E138:L138,0)-1)*Summary!$B$7+(MATCH(1,M138:T138,0)-1)*Summary!$B$8+(MATCH(1,U138:AB138,0)-1)*Summary!$B$9</f>
        <v>46.875</v>
      </c>
      <c r="C138" s="35" t="n">
        <v>0</v>
      </c>
      <c r="D138" s="35" t="n">
        <v>1</v>
      </c>
      <c r="E138" s="35" t="n">
        <v>0</v>
      </c>
      <c r="F138" s="35" t="n">
        <v>0</v>
      </c>
      <c r="G138" s="35" t="n">
        <v>1</v>
      </c>
      <c r="H138" s="35" t="n">
        <v>0</v>
      </c>
      <c r="I138" s="35" t="n">
        <v>0</v>
      </c>
      <c r="J138" s="35" t="n">
        <v>0</v>
      </c>
      <c r="K138" s="35" t="n">
        <v>0</v>
      </c>
      <c r="L138" s="35" t="n">
        <v>0</v>
      </c>
      <c r="M138" s="35" t="n">
        <v>1</v>
      </c>
      <c r="N138" s="35" t="n">
        <v>0</v>
      </c>
      <c r="O138" s="35" t="n">
        <v>0</v>
      </c>
      <c r="P138" s="35" t="n">
        <v>0</v>
      </c>
      <c r="Q138" s="35" t="n">
        <v>0</v>
      </c>
      <c r="R138" s="35" t="n">
        <v>0</v>
      </c>
      <c r="S138" s="35" t="n">
        <v>0</v>
      </c>
      <c r="T138" s="35" t="n">
        <v>0</v>
      </c>
      <c r="U138" s="35" t="n">
        <v>0</v>
      </c>
      <c r="V138" s="35" t="n">
        <v>0</v>
      </c>
      <c r="W138" s="35" t="n">
        <v>0</v>
      </c>
      <c r="X138" s="35" t="n">
        <v>0</v>
      </c>
      <c r="Y138" s="35" t="n">
        <v>0</v>
      </c>
      <c r="Z138" s="35" t="n">
        <v>0</v>
      </c>
      <c r="AA138" s="35" t="n">
        <v>0</v>
      </c>
      <c r="AB138" s="35" t="n">
        <v>1</v>
      </c>
      <c r="AC138" s="33" t="s">
        <v>239</v>
      </c>
      <c r="AD138" s="36" t="n">
        <f aca="false">B138-B137</f>
        <v>0.125</v>
      </c>
    </row>
    <row r="139" customFormat="false" ht="15" hidden="false" customHeight="false" outlineLevel="0" collapsed="false">
      <c r="A139" s="30" t="n">
        <v>136</v>
      </c>
      <c r="B139" s="31" t="n">
        <f aca="false">Summary!$B$5+IF(D139=1,0,IF(C139=1,Summary!$B$6,NA()))+(MATCH(1,E139:L139,0)-1)*Summary!$B$7+(MATCH(1,M139:T139,0)-1)*Summary!$B$8+(MATCH(1,U139:AB139,0)-1)*Summary!$B$9</f>
        <v>47</v>
      </c>
      <c r="C139" s="32" t="n">
        <v>0</v>
      </c>
      <c r="D139" s="32" t="n">
        <v>1</v>
      </c>
      <c r="E139" s="32" t="n">
        <v>0</v>
      </c>
      <c r="F139" s="32" t="n">
        <v>0</v>
      </c>
      <c r="G139" s="32" t="n">
        <v>1</v>
      </c>
      <c r="H139" s="32" t="n">
        <v>0</v>
      </c>
      <c r="I139" s="32" t="n">
        <v>0</v>
      </c>
      <c r="J139" s="32" t="n">
        <v>0</v>
      </c>
      <c r="K139" s="32" t="n">
        <v>0</v>
      </c>
      <c r="L139" s="32" t="n">
        <v>0</v>
      </c>
      <c r="M139" s="32" t="n">
        <v>0</v>
      </c>
      <c r="N139" s="32" t="n">
        <v>1</v>
      </c>
      <c r="O139" s="32" t="n">
        <v>0</v>
      </c>
      <c r="P139" s="32" t="n">
        <v>0</v>
      </c>
      <c r="Q139" s="32" t="n">
        <v>0</v>
      </c>
      <c r="R139" s="32" t="n">
        <v>0</v>
      </c>
      <c r="S139" s="32" t="n">
        <v>0</v>
      </c>
      <c r="T139" s="32" t="n">
        <v>0</v>
      </c>
      <c r="U139" s="32" t="n">
        <v>1</v>
      </c>
      <c r="V139" s="32" t="n">
        <v>0</v>
      </c>
      <c r="W139" s="32" t="n">
        <v>0</v>
      </c>
      <c r="X139" s="32" t="n">
        <v>0</v>
      </c>
      <c r="Y139" s="32" t="n">
        <v>0</v>
      </c>
      <c r="Z139" s="32" t="n">
        <v>0</v>
      </c>
      <c r="AA139" s="32" t="n">
        <v>0</v>
      </c>
      <c r="AB139" s="32" t="n">
        <v>0</v>
      </c>
      <c r="AC139" s="30" t="s">
        <v>240</v>
      </c>
      <c r="AD139" s="37" t="n">
        <f aca="false">B139-B138</f>
        <v>0.125</v>
      </c>
    </row>
    <row r="140" customFormat="false" ht="15" hidden="false" customHeight="false" outlineLevel="0" collapsed="false">
      <c r="A140" s="33" t="n">
        <v>137</v>
      </c>
      <c r="B140" s="34" t="n">
        <f aca="false">Summary!$B$5+IF(D140=1,0,IF(C140=1,Summary!$B$6,NA()))+(MATCH(1,E140:L140,0)-1)*Summary!$B$7+(MATCH(1,M140:T140,0)-1)*Summary!$B$8+(MATCH(1,U140:AB140,0)-1)*Summary!$B$9</f>
        <v>47.125</v>
      </c>
      <c r="C140" s="35" t="n">
        <v>0</v>
      </c>
      <c r="D140" s="35" t="n">
        <v>1</v>
      </c>
      <c r="E140" s="35" t="n">
        <v>0</v>
      </c>
      <c r="F140" s="35" t="n">
        <v>0</v>
      </c>
      <c r="G140" s="35" t="n">
        <v>1</v>
      </c>
      <c r="H140" s="35" t="n">
        <v>0</v>
      </c>
      <c r="I140" s="35" t="n">
        <v>0</v>
      </c>
      <c r="J140" s="35" t="n">
        <v>0</v>
      </c>
      <c r="K140" s="35" t="n">
        <v>0</v>
      </c>
      <c r="L140" s="35" t="n">
        <v>0</v>
      </c>
      <c r="M140" s="35" t="n">
        <v>0</v>
      </c>
      <c r="N140" s="35" t="n">
        <v>1</v>
      </c>
      <c r="O140" s="35" t="n">
        <v>0</v>
      </c>
      <c r="P140" s="35" t="n">
        <v>0</v>
      </c>
      <c r="Q140" s="35" t="n">
        <v>0</v>
      </c>
      <c r="R140" s="35" t="n">
        <v>0</v>
      </c>
      <c r="S140" s="35" t="n">
        <v>0</v>
      </c>
      <c r="T140" s="35" t="n">
        <v>0</v>
      </c>
      <c r="U140" s="35" t="n">
        <v>0</v>
      </c>
      <c r="V140" s="35" t="n">
        <v>1</v>
      </c>
      <c r="W140" s="35" t="n">
        <v>0</v>
      </c>
      <c r="X140" s="35" t="n">
        <v>0</v>
      </c>
      <c r="Y140" s="35" t="n">
        <v>0</v>
      </c>
      <c r="Z140" s="35" t="n">
        <v>0</v>
      </c>
      <c r="AA140" s="35" t="n">
        <v>0</v>
      </c>
      <c r="AB140" s="35" t="n">
        <v>0</v>
      </c>
      <c r="AC140" s="33" t="s">
        <v>241</v>
      </c>
      <c r="AD140" s="36" t="n">
        <f aca="false">B140-B139</f>
        <v>0.125</v>
      </c>
    </row>
    <row r="141" customFormat="false" ht="15" hidden="false" customHeight="false" outlineLevel="0" collapsed="false">
      <c r="A141" s="30" t="n">
        <v>138</v>
      </c>
      <c r="B141" s="31" t="n">
        <f aca="false">Summary!$B$5+IF(D141=1,0,IF(C141=1,Summary!$B$6,NA()))+(MATCH(1,E141:L141,0)-1)*Summary!$B$7+(MATCH(1,M141:T141,0)-1)*Summary!$B$8+(MATCH(1,U141:AB141,0)-1)*Summary!$B$9</f>
        <v>47.25</v>
      </c>
      <c r="C141" s="32" t="n">
        <v>0</v>
      </c>
      <c r="D141" s="32" t="n">
        <v>1</v>
      </c>
      <c r="E141" s="32" t="n">
        <v>0</v>
      </c>
      <c r="F141" s="32" t="n">
        <v>0</v>
      </c>
      <c r="G141" s="32" t="n">
        <v>1</v>
      </c>
      <c r="H141" s="32" t="n">
        <v>0</v>
      </c>
      <c r="I141" s="32" t="n">
        <v>0</v>
      </c>
      <c r="J141" s="32" t="n">
        <v>0</v>
      </c>
      <c r="K141" s="32" t="n">
        <v>0</v>
      </c>
      <c r="L141" s="32" t="n">
        <v>0</v>
      </c>
      <c r="M141" s="32" t="n">
        <v>0</v>
      </c>
      <c r="N141" s="32" t="n">
        <v>1</v>
      </c>
      <c r="O141" s="32" t="n">
        <v>0</v>
      </c>
      <c r="P141" s="32" t="n">
        <v>0</v>
      </c>
      <c r="Q141" s="32" t="n">
        <v>0</v>
      </c>
      <c r="R141" s="32" t="n">
        <v>0</v>
      </c>
      <c r="S141" s="32" t="n">
        <v>0</v>
      </c>
      <c r="T141" s="32" t="n">
        <v>0</v>
      </c>
      <c r="U141" s="32" t="n">
        <v>0</v>
      </c>
      <c r="V141" s="32" t="n">
        <v>0</v>
      </c>
      <c r="W141" s="32" t="n">
        <v>1</v>
      </c>
      <c r="X141" s="32" t="n">
        <v>0</v>
      </c>
      <c r="Y141" s="32" t="n">
        <v>0</v>
      </c>
      <c r="Z141" s="32" t="n">
        <v>0</v>
      </c>
      <c r="AA141" s="32" t="n">
        <v>0</v>
      </c>
      <c r="AB141" s="32" t="n">
        <v>0</v>
      </c>
      <c r="AC141" s="30" t="s">
        <v>242</v>
      </c>
      <c r="AD141" s="37" t="n">
        <f aca="false">B141-B140</f>
        <v>0.125</v>
      </c>
    </row>
    <row r="142" customFormat="false" ht="15" hidden="false" customHeight="false" outlineLevel="0" collapsed="false">
      <c r="A142" s="33" t="n">
        <v>139</v>
      </c>
      <c r="B142" s="34" t="n">
        <f aca="false">Summary!$B$5+IF(D142=1,0,IF(C142=1,Summary!$B$6,NA()))+(MATCH(1,E142:L142,0)-1)*Summary!$B$7+(MATCH(1,M142:T142,0)-1)*Summary!$B$8+(MATCH(1,U142:AB142,0)-1)*Summary!$B$9</f>
        <v>47.375</v>
      </c>
      <c r="C142" s="35" t="n">
        <v>0</v>
      </c>
      <c r="D142" s="35" t="n">
        <v>1</v>
      </c>
      <c r="E142" s="35" t="n">
        <v>0</v>
      </c>
      <c r="F142" s="35" t="n">
        <v>0</v>
      </c>
      <c r="G142" s="35" t="n">
        <v>1</v>
      </c>
      <c r="H142" s="35" t="n">
        <v>0</v>
      </c>
      <c r="I142" s="35" t="n">
        <v>0</v>
      </c>
      <c r="J142" s="35" t="n">
        <v>0</v>
      </c>
      <c r="K142" s="35" t="n">
        <v>0</v>
      </c>
      <c r="L142" s="35" t="n">
        <v>0</v>
      </c>
      <c r="M142" s="35" t="n">
        <v>0</v>
      </c>
      <c r="N142" s="35" t="n">
        <v>1</v>
      </c>
      <c r="O142" s="35" t="n">
        <v>0</v>
      </c>
      <c r="P142" s="35" t="n">
        <v>0</v>
      </c>
      <c r="Q142" s="35" t="n">
        <v>0</v>
      </c>
      <c r="R142" s="35" t="n">
        <v>0</v>
      </c>
      <c r="S142" s="35" t="n">
        <v>0</v>
      </c>
      <c r="T142" s="35" t="n">
        <v>0</v>
      </c>
      <c r="U142" s="35" t="n">
        <v>0</v>
      </c>
      <c r="V142" s="35" t="n">
        <v>0</v>
      </c>
      <c r="W142" s="35" t="n">
        <v>0</v>
      </c>
      <c r="X142" s="35" t="n">
        <v>1</v>
      </c>
      <c r="Y142" s="35" t="n">
        <v>0</v>
      </c>
      <c r="Z142" s="35" t="n">
        <v>0</v>
      </c>
      <c r="AA142" s="35" t="n">
        <v>0</v>
      </c>
      <c r="AB142" s="35" t="n">
        <v>0</v>
      </c>
      <c r="AC142" s="33" t="s">
        <v>243</v>
      </c>
      <c r="AD142" s="36" t="n">
        <f aca="false">B142-B141</f>
        <v>0.125</v>
      </c>
    </row>
    <row r="143" customFormat="false" ht="15" hidden="false" customHeight="false" outlineLevel="0" collapsed="false">
      <c r="A143" s="30" t="n">
        <v>140</v>
      </c>
      <c r="B143" s="31" t="n">
        <f aca="false">Summary!$B$5+IF(D143=1,0,IF(C143=1,Summary!$B$6,NA()))+(MATCH(1,E143:L143,0)-1)*Summary!$B$7+(MATCH(1,M143:T143,0)-1)*Summary!$B$8+(MATCH(1,U143:AB143,0)-1)*Summary!$B$9</f>
        <v>47.5</v>
      </c>
      <c r="C143" s="32" t="n">
        <v>0</v>
      </c>
      <c r="D143" s="32" t="n">
        <v>1</v>
      </c>
      <c r="E143" s="32" t="n">
        <v>0</v>
      </c>
      <c r="F143" s="32" t="n">
        <v>0</v>
      </c>
      <c r="G143" s="32" t="n">
        <v>1</v>
      </c>
      <c r="H143" s="32" t="n">
        <v>0</v>
      </c>
      <c r="I143" s="32" t="n">
        <v>0</v>
      </c>
      <c r="J143" s="32" t="n">
        <v>0</v>
      </c>
      <c r="K143" s="32" t="n">
        <v>0</v>
      </c>
      <c r="L143" s="32" t="n">
        <v>0</v>
      </c>
      <c r="M143" s="32" t="n">
        <v>0</v>
      </c>
      <c r="N143" s="32" t="n">
        <v>1</v>
      </c>
      <c r="O143" s="32" t="n">
        <v>0</v>
      </c>
      <c r="P143" s="32" t="n">
        <v>0</v>
      </c>
      <c r="Q143" s="32" t="n">
        <v>0</v>
      </c>
      <c r="R143" s="32" t="n">
        <v>0</v>
      </c>
      <c r="S143" s="32" t="n">
        <v>0</v>
      </c>
      <c r="T143" s="32" t="n">
        <v>0</v>
      </c>
      <c r="U143" s="32" t="n">
        <v>0</v>
      </c>
      <c r="V143" s="32" t="n">
        <v>0</v>
      </c>
      <c r="W143" s="32" t="n">
        <v>0</v>
      </c>
      <c r="X143" s="32" t="n">
        <v>0</v>
      </c>
      <c r="Y143" s="32" t="n">
        <v>1</v>
      </c>
      <c r="Z143" s="32" t="n">
        <v>0</v>
      </c>
      <c r="AA143" s="32" t="n">
        <v>0</v>
      </c>
      <c r="AB143" s="32" t="n">
        <v>0</v>
      </c>
      <c r="AC143" s="30" t="s">
        <v>244</v>
      </c>
      <c r="AD143" s="37" t="n">
        <f aca="false">B143-B142</f>
        <v>0.125</v>
      </c>
    </row>
    <row r="144" customFormat="false" ht="15" hidden="false" customHeight="false" outlineLevel="0" collapsed="false">
      <c r="A144" s="33" t="n">
        <v>141</v>
      </c>
      <c r="B144" s="34" t="n">
        <f aca="false">Summary!$B$5+IF(D144=1,0,IF(C144=1,Summary!$B$6,NA()))+(MATCH(1,E144:L144,0)-1)*Summary!$B$7+(MATCH(1,M144:T144,0)-1)*Summary!$B$8+(MATCH(1,U144:AB144,0)-1)*Summary!$B$9</f>
        <v>47.625</v>
      </c>
      <c r="C144" s="35" t="n">
        <v>0</v>
      </c>
      <c r="D144" s="35" t="n">
        <v>1</v>
      </c>
      <c r="E144" s="35" t="n">
        <v>0</v>
      </c>
      <c r="F144" s="35" t="n">
        <v>0</v>
      </c>
      <c r="G144" s="35" t="n">
        <v>1</v>
      </c>
      <c r="H144" s="35" t="n">
        <v>0</v>
      </c>
      <c r="I144" s="35" t="n">
        <v>0</v>
      </c>
      <c r="J144" s="35" t="n">
        <v>0</v>
      </c>
      <c r="K144" s="35" t="n">
        <v>0</v>
      </c>
      <c r="L144" s="35" t="n">
        <v>0</v>
      </c>
      <c r="M144" s="35" t="n">
        <v>0</v>
      </c>
      <c r="N144" s="35" t="n">
        <v>1</v>
      </c>
      <c r="O144" s="35" t="n">
        <v>0</v>
      </c>
      <c r="P144" s="35" t="n">
        <v>0</v>
      </c>
      <c r="Q144" s="35" t="n">
        <v>0</v>
      </c>
      <c r="R144" s="35" t="n">
        <v>0</v>
      </c>
      <c r="S144" s="35" t="n">
        <v>0</v>
      </c>
      <c r="T144" s="35" t="n">
        <v>0</v>
      </c>
      <c r="U144" s="35" t="n">
        <v>0</v>
      </c>
      <c r="V144" s="35" t="n">
        <v>0</v>
      </c>
      <c r="W144" s="35" t="n">
        <v>0</v>
      </c>
      <c r="X144" s="35" t="n">
        <v>0</v>
      </c>
      <c r="Y144" s="35" t="n">
        <v>0</v>
      </c>
      <c r="Z144" s="35" t="n">
        <v>1</v>
      </c>
      <c r="AA144" s="35" t="n">
        <v>0</v>
      </c>
      <c r="AB144" s="35" t="n">
        <v>0</v>
      </c>
      <c r="AC144" s="33" t="s">
        <v>245</v>
      </c>
      <c r="AD144" s="36" t="n">
        <f aca="false">B144-B143</f>
        <v>0.125</v>
      </c>
    </row>
    <row r="145" customFormat="false" ht="15" hidden="false" customHeight="false" outlineLevel="0" collapsed="false">
      <c r="A145" s="30" t="n">
        <v>142</v>
      </c>
      <c r="B145" s="31" t="n">
        <f aca="false">Summary!$B$5+IF(D145=1,0,IF(C145=1,Summary!$B$6,NA()))+(MATCH(1,E145:L145,0)-1)*Summary!$B$7+(MATCH(1,M145:T145,0)-1)*Summary!$B$8+(MATCH(1,U145:AB145,0)-1)*Summary!$B$9</f>
        <v>47.75</v>
      </c>
      <c r="C145" s="32" t="n">
        <v>0</v>
      </c>
      <c r="D145" s="32" t="n">
        <v>1</v>
      </c>
      <c r="E145" s="32" t="n">
        <v>0</v>
      </c>
      <c r="F145" s="32" t="n">
        <v>0</v>
      </c>
      <c r="G145" s="32" t="n">
        <v>1</v>
      </c>
      <c r="H145" s="32" t="n">
        <v>0</v>
      </c>
      <c r="I145" s="32" t="n">
        <v>0</v>
      </c>
      <c r="J145" s="32" t="n">
        <v>0</v>
      </c>
      <c r="K145" s="32" t="n">
        <v>0</v>
      </c>
      <c r="L145" s="32" t="n">
        <v>0</v>
      </c>
      <c r="M145" s="32" t="n">
        <v>0</v>
      </c>
      <c r="N145" s="32" t="n">
        <v>1</v>
      </c>
      <c r="O145" s="32" t="n">
        <v>0</v>
      </c>
      <c r="P145" s="32" t="n">
        <v>0</v>
      </c>
      <c r="Q145" s="32" t="n">
        <v>0</v>
      </c>
      <c r="R145" s="32" t="n">
        <v>0</v>
      </c>
      <c r="S145" s="32" t="n">
        <v>0</v>
      </c>
      <c r="T145" s="32" t="n">
        <v>0</v>
      </c>
      <c r="U145" s="32" t="n">
        <v>0</v>
      </c>
      <c r="V145" s="32" t="n">
        <v>0</v>
      </c>
      <c r="W145" s="32" t="n">
        <v>0</v>
      </c>
      <c r="X145" s="32" t="n">
        <v>0</v>
      </c>
      <c r="Y145" s="32" t="n">
        <v>0</v>
      </c>
      <c r="Z145" s="32" t="n">
        <v>0</v>
      </c>
      <c r="AA145" s="32" t="n">
        <v>1</v>
      </c>
      <c r="AB145" s="32" t="n">
        <v>0</v>
      </c>
      <c r="AC145" s="30" t="s">
        <v>246</v>
      </c>
      <c r="AD145" s="37" t="n">
        <f aca="false">B145-B144</f>
        <v>0.125</v>
      </c>
    </row>
    <row r="146" customFormat="false" ht="15" hidden="false" customHeight="false" outlineLevel="0" collapsed="false">
      <c r="A146" s="33" t="n">
        <v>143</v>
      </c>
      <c r="B146" s="34" t="n">
        <f aca="false">Summary!$B$5+IF(D146=1,0,IF(C146=1,Summary!$B$6,NA()))+(MATCH(1,E146:L146,0)-1)*Summary!$B$7+(MATCH(1,M146:T146,0)-1)*Summary!$B$8+(MATCH(1,U146:AB146,0)-1)*Summary!$B$9</f>
        <v>47.875</v>
      </c>
      <c r="C146" s="35" t="n">
        <v>0</v>
      </c>
      <c r="D146" s="35" t="n">
        <v>1</v>
      </c>
      <c r="E146" s="35" t="n">
        <v>0</v>
      </c>
      <c r="F146" s="35" t="n">
        <v>0</v>
      </c>
      <c r="G146" s="35" t="n">
        <v>1</v>
      </c>
      <c r="H146" s="35" t="n">
        <v>0</v>
      </c>
      <c r="I146" s="35" t="n">
        <v>0</v>
      </c>
      <c r="J146" s="35" t="n">
        <v>0</v>
      </c>
      <c r="K146" s="35" t="n">
        <v>0</v>
      </c>
      <c r="L146" s="35" t="n">
        <v>0</v>
      </c>
      <c r="M146" s="35" t="n">
        <v>0</v>
      </c>
      <c r="N146" s="35" t="n">
        <v>1</v>
      </c>
      <c r="O146" s="35" t="n">
        <v>0</v>
      </c>
      <c r="P146" s="35" t="n">
        <v>0</v>
      </c>
      <c r="Q146" s="35" t="n">
        <v>0</v>
      </c>
      <c r="R146" s="35" t="n">
        <v>0</v>
      </c>
      <c r="S146" s="35" t="n">
        <v>0</v>
      </c>
      <c r="T146" s="35" t="n">
        <v>0</v>
      </c>
      <c r="U146" s="35" t="n">
        <v>0</v>
      </c>
      <c r="V146" s="35" t="n">
        <v>0</v>
      </c>
      <c r="W146" s="35" t="n">
        <v>0</v>
      </c>
      <c r="X146" s="35" t="n">
        <v>0</v>
      </c>
      <c r="Y146" s="35" t="n">
        <v>0</v>
      </c>
      <c r="Z146" s="35" t="n">
        <v>0</v>
      </c>
      <c r="AA146" s="35" t="n">
        <v>0</v>
      </c>
      <c r="AB146" s="35" t="n">
        <v>1</v>
      </c>
      <c r="AC146" s="33" t="s">
        <v>247</v>
      </c>
      <c r="AD146" s="36" t="n">
        <f aca="false">B146-B145</f>
        <v>0.125</v>
      </c>
    </row>
    <row r="147" customFormat="false" ht="15" hidden="false" customHeight="false" outlineLevel="0" collapsed="false">
      <c r="A147" s="30" t="n">
        <v>144</v>
      </c>
      <c r="B147" s="31" t="n">
        <f aca="false">Summary!$B$5+IF(D147=1,0,IF(C147=1,Summary!$B$6,NA()))+(MATCH(1,E147:L147,0)-1)*Summary!$B$7+(MATCH(1,M147:T147,0)-1)*Summary!$B$8+(MATCH(1,U147:AB147,0)-1)*Summary!$B$9</f>
        <v>48</v>
      </c>
      <c r="C147" s="32" t="n">
        <v>0</v>
      </c>
      <c r="D147" s="32" t="n">
        <v>1</v>
      </c>
      <c r="E147" s="32" t="n">
        <v>0</v>
      </c>
      <c r="F147" s="32" t="n">
        <v>0</v>
      </c>
      <c r="G147" s="32" t="n">
        <v>1</v>
      </c>
      <c r="H147" s="32" t="n">
        <v>0</v>
      </c>
      <c r="I147" s="32" t="n">
        <v>0</v>
      </c>
      <c r="J147" s="32" t="n">
        <v>0</v>
      </c>
      <c r="K147" s="32" t="n">
        <v>0</v>
      </c>
      <c r="L147" s="32" t="n">
        <v>0</v>
      </c>
      <c r="M147" s="32" t="n">
        <v>0</v>
      </c>
      <c r="N147" s="32" t="n">
        <v>0</v>
      </c>
      <c r="O147" s="32" t="n">
        <v>1</v>
      </c>
      <c r="P147" s="32" t="n">
        <v>0</v>
      </c>
      <c r="Q147" s="32" t="n">
        <v>0</v>
      </c>
      <c r="R147" s="32" t="n">
        <v>0</v>
      </c>
      <c r="S147" s="32" t="n">
        <v>0</v>
      </c>
      <c r="T147" s="32" t="n">
        <v>0</v>
      </c>
      <c r="U147" s="32" t="n">
        <v>1</v>
      </c>
      <c r="V147" s="32" t="n">
        <v>0</v>
      </c>
      <c r="W147" s="32" t="n">
        <v>0</v>
      </c>
      <c r="X147" s="32" t="n">
        <v>0</v>
      </c>
      <c r="Y147" s="32" t="n">
        <v>0</v>
      </c>
      <c r="Z147" s="32" t="n">
        <v>0</v>
      </c>
      <c r="AA147" s="32" t="n">
        <v>0</v>
      </c>
      <c r="AB147" s="32" t="n">
        <v>0</v>
      </c>
      <c r="AC147" s="30" t="s">
        <v>248</v>
      </c>
      <c r="AD147" s="37" t="n">
        <f aca="false">B147-B146</f>
        <v>0.125</v>
      </c>
    </row>
    <row r="148" customFormat="false" ht="15" hidden="false" customHeight="false" outlineLevel="0" collapsed="false">
      <c r="A148" s="33" t="n">
        <v>145</v>
      </c>
      <c r="B148" s="34" t="n">
        <f aca="false">Summary!$B$5+IF(D148=1,0,IF(C148=1,Summary!$B$6,NA()))+(MATCH(1,E148:L148,0)-1)*Summary!$B$7+(MATCH(1,M148:T148,0)-1)*Summary!$B$8+(MATCH(1,U148:AB148,0)-1)*Summary!$B$9</f>
        <v>48.125</v>
      </c>
      <c r="C148" s="35" t="n">
        <v>0</v>
      </c>
      <c r="D148" s="35" t="n">
        <v>1</v>
      </c>
      <c r="E148" s="35" t="n">
        <v>0</v>
      </c>
      <c r="F148" s="35" t="n">
        <v>0</v>
      </c>
      <c r="G148" s="35" t="n">
        <v>1</v>
      </c>
      <c r="H148" s="35" t="n">
        <v>0</v>
      </c>
      <c r="I148" s="35" t="n">
        <v>0</v>
      </c>
      <c r="J148" s="35" t="n">
        <v>0</v>
      </c>
      <c r="K148" s="35" t="n">
        <v>0</v>
      </c>
      <c r="L148" s="35" t="n">
        <v>0</v>
      </c>
      <c r="M148" s="35" t="n">
        <v>0</v>
      </c>
      <c r="N148" s="35" t="n">
        <v>0</v>
      </c>
      <c r="O148" s="35" t="n">
        <v>1</v>
      </c>
      <c r="P148" s="35" t="n">
        <v>0</v>
      </c>
      <c r="Q148" s="35" t="n">
        <v>0</v>
      </c>
      <c r="R148" s="35" t="n">
        <v>0</v>
      </c>
      <c r="S148" s="35" t="n">
        <v>0</v>
      </c>
      <c r="T148" s="35" t="n">
        <v>0</v>
      </c>
      <c r="U148" s="35" t="n">
        <v>0</v>
      </c>
      <c r="V148" s="35" t="n">
        <v>1</v>
      </c>
      <c r="W148" s="35" t="n">
        <v>0</v>
      </c>
      <c r="X148" s="35" t="n">
        <v>0</v>
      </c>
      <c r="Y148" s="35" t="n">
        <v>0</v>
      </c>
      <c r="Z148" s="35" t="n">
        <v>0</v>
      </c>
      <c r="AA148" s="35" t="n">
        <v>0</v>
      </c>
      <c r="AB148" s="35" t="n">
        <v>0</v>
      </c>
      <c r="AC148" s="33" t="s">
        <v>249</v>
      </c>
      <c r="AD148" s="36" t="n">
        <f aca="false">B148-B147</f>
        <v>0.125</v>
      </c>
    </row>
    <row r="149" customFormat="false" ht="15" hidden="false" customHeight="false" outlineLevel="0" collapsed="false">
      <c r="A149" s="30" t="n">
        <v>146</v>
      </c>
      <c r="B149" s="31" t="n">
        <f aca="false">Summary!$B$5+IF(D149=1,0,IF(C149=1,Summary!$B$6,NA()))+(MATCH(1,E149:L149,0)-1)*Summary!$B$7+(MATCH(1,M149:T149,0)-1)*Summary!$B$8+(MATCH(1,U149:AB149,0)-1)*Summary!$B$9</f>
        <v>48.25</v>
      </c>
      <c r="C149" s="32" t="n">
        <v>0</v>
      </c>
      <c r="D149" s="32" t="n">
        <v>1</v>
      </c>
      <c r="E149" s="32" t="n">
        <v>0</v>
      </c>
      <c r="F149" s="32" t="n">
        <v>0</v>
      </c>
      <c r="G149" s="32" t="n">
        <v>1</v>
      </c>
      <c r="H149" s="32" t="n">
        <v>0</v>
      </c>
      <c r="I149" s="32" t="n">
        <v>0</v>
      </c>
      <c r="J149" s="32" t="n">
        <v>0</v>
      </c>
      <c r="K149" s="32" t="n">
        <v>0</v>
      </c>
      <c r="L149" s="32" t="n">
        <v>0</v>
      </c>
      <c r="M149" s="32" t="n">
        <v>0</v>
      </c>
      <c r="N149" s="32" t="n">
        <v>0</v>
      </c>
      <c r="O149" s="32" t="n">
        <v>1</v>
      </c>
      <c r="P149" s="32" t="n">
        <v>0</v>
      </c>
      <c r="Q149" s="32" t="n">
        <v>0</v>
      </c>
      <c r="R149" s="32" t="n">
        <v>0</v>
      </c>
      <c r="S149" s="32" t="n">
        <v>0</v>
      </c>
      <c r="T149" s="32" t="n">
        <v>0</v>
      </c>
      <c r="U149" s="32" t="n">
        <v>0</v>
      </c>
      <c r="V149" s="32" t="n">
        <v>0</v>
      </c>
      <c r="W149" s="32" t="n">
        <v>1</v>
      </c>
      <c r="X149" s="32" t="n">
        <v>0</v>
      </c>
      <c r="Y149" s="32" t="n">
        <v>0</v>
      </c>
      <c r="Z149" s="32" t="n">
        <v>0</v>
      </c>
      <c r="AA149" s="32" t="n">
        <v>0</v>
      </c>
      <c r="AB149" s="32" t="n">
        <v>0</v>
      </c>
      <c r="AC149" s="30" t="s">
        <v>250</v>
      </c>
      <c r="AD149" s="37" t="n">
        <f aca="false">B149-B148</f>
        <v>0.125</v>
      </c>
    </row>
    <row r="150" customFormat="false" ht="15" hidden="false" customHeight="false" outlineLevel="0" collapsed="false">
      <c r="A150" s="33" t="n">
        <v>147</v>
      </c>
      <c r="B150" s="34" t="n">
        <f aca="false">Summary!$B$5+IF(D150=1,0,IF(C150=1,Summary!$B$6,NA()))+(MATCH(1,E150:L150,0)-1)*Summary!$B$7+(MATCH(1,M150:T150,0)-1)*Summary!$B$8+(MATCH(1,U150:AB150,0)-1)*Summary!$B$9</f>
        <v>48.375</v>
      </c>
      <c r="C150" s="35" t="n">
        <v>0</v>
      </c>
      <c r="D150" s="35" t="n">
        <v>1</v>
      </c>
      <c r="E150" s="35" t="n">
        <v>0</v>
      </c>
      <c r="F150" s="35" t="n">
        <v>0</v>
      </c>
      <c r="G150" s="35" t="n">
        <v>1</v>
      </c>
      <c r="H150" s="35" t="n">
        <v>0</v>
      </c>
      <c r="I150" s="35" t="n">
        <v>0</v>
      </c>
      <c r="J150" s="35" t="n">
        <v>0</v>
      </c>
      <c r="K150" s="35" t="n">
        <v>0</v>
      </c>
      <c r="L150" s="35" t="n">
        <v>0</v>
      </c>
      <c r="M150" s="35" t="n">
        <v>0</v>
      </c>
      <c r="N150" s="35" t="n">
        <v>0</v>
      </c>
      <c r="O150" s="35" t="n">
        <v>1</v>
      </c>
      <c r="P150" s="35" t="n">
        <v>0</v>
      </c>
      <c r="Q150" s="35" t="n">
        <v>0</v>
      </c>
      <c r="R150" s="35" t="n">
        <v>0</v>
      </c>
      <c r="S150" s="35" t="n">
        <v>0</v>
      </c>
      <c r="T150" s="35" t="n">
        <v>0</v>
      </c>
      <c r="U150" s="35" t="n">
        <v>0</v>
      </c>
      <c r="V150" s="35" t="n">
        <v>0</v>
      </c>
      <c r="W150" s="35" t="n">
        <v>0</v>
      </c>
      <c r="X150" s="35" t="n">
        <v>1</v>
      </c>
      <c r="Y150" s="35" t="n">
        <v>0</v>
      </c>
      <c r="Z150" s="35" t="n">
        <v>0</v>
      </c>
      <c r="AA150" s="35" t="n">
        <v>0</v>
      </c>
      <c r="AB150" s="35" t="n">
        <v>0</v>
      </c>
      <c r="AC150" s="33" t="s">
        <v>251</v>
      </c>
      <c r="AD150" s="36" t="n">
        <f aca="false">B150-B149</f>
        <v>0.125</v>
      </c>
    </row>
    <row r="151" customFormat="false" ht="15" hidden="false" customHeight="false" outlineLevel="0" collapsed="false">
      <c r="A151" s="30" t="n">
        <v>148</v>
      </c>
      <c r="B151" s="31" t="n">
        <f aca="false">Summary!$B$5+IF(D151=1,0,IF(C151=1,Summary!$B$6,NA()))+(MATCH(1,E151:L151,0)-1)*Summary!$B$7+(MATCH(1,M151:T151,0)-1)*Summary!$B$8+(MATCH(1,U151:AB151,0)-1)*Summary!$B$9</f>
        <v>48.5</v>
      </c>
      <c r="C151" s="32" t="n">
        <v>0</v>
      </c>
      <c r="D151" s="32" t="n">
        <v>1</v>
      </c>
      <c r="E151" s="32" t="n">
        <v>0</v>
      </c>
      <c r="F151" s="32" t="n">
        <v>0</v>
      </c>
      <c r="G151" s="32" t="n">
        <v>1</v>
      </c>
      <c r="H151" s="32" t="n">
        <v>0</v>
      </c>
      <c r="I151" s="32" t="n">
        <v>0</v>
      </c>
      <c r="J151" s="32" t="n">
        <v>0</v>
      </c>
      <c r="K151" s="32" t="n">
        <v>0</v>
      </c>
      <c r="L151" s="32" t="n">
        <v>0</v>
      </c>
      <c r="M151" s="32" t="n">
        <v>0</v>
      </c>
      <c r="N151" s="32" t="n">
        <v>0</v>
      </c>
      <c r="O151" s="32" t="n">
        <v>1</v>
      </c>
      <c r="P151" s="32" t="n">
        <v>0</v>
      </c>
      <c r="Q151" s="32" t="n">
        <v>0</v>
      </c>
      <c r="R151" s="32" t="n">
        <v>0</v>
      </c>
      <c r="S151" s="32" t="n">
        <v>0</v>
      </c>
      <c r="T151" s="32" t="n">
        <v>0</v>
      </c>
      <c r="U151" s="32" t="n">
        <v>0</v>
      </c>
      <c r="V151" s="32" t="n">
        <v>0</v>
      </c>
      <c r="W151" s="32" t="n">
        <v>0</v>
      </c>
      <c r="X151" s="32" t="n">
        <v>0</v>
      </c>
      <c r="Y151" s="32" t="n">
        <v>1</v>
      </c>
      <c r="Z151" s="32" t="n">
        <v>0</v>
      </c>
      <c r="AA151" s="32" t="n">
        <v>0</v>
      </c>
      <c r="AB151" s="32" t="n">
        <v>0</v>
      </c>
      <c r="AC151" s="30" t="s">
        <v>252</v>
      </c>
      <c r="AD151" s="37" t="n">
        <f aca="false">B151-B150</f>
        <v>0.125</v>
      </c>
    </row>
    <row r="152" customFormat="false" ht="15" hidden="false" customHeight="false" outlineLevel="0" collapsed="false">
      <c r="A152" s="33" t="n">
        <v>149</v>
      </c>
      <c r="B152" s="34" t="n">
        <f aca="false">Summary!$B$5+IF(D152=1,0,IF(C152=1,Summary!$B$6,NA()))+(MATCH(1,E152:L152,0)-1)*Summary!$B$7+(MATCH(1,M152:T152,0)-1)*Summary!$B$8+(MATCH(1,U152:AB152,0)-1)*Summary!$B$9</f>
        <v>48.625</v>
      </c>
      <c r="C152" s="35" t="n">
        <v>0</v>
      </c>
      <c r="D152" s="35" t="n">
        <v>1</v>
      </c>
      <c r="E152" s="35" t="n">
        <v>0</v>
      </c>
      <c r="F152" s="35" t="n">
        <v>0</v>
      </c>
      <c r="G152" s="35" t="n">
        <v>1</v>
      </c>
      <c r="H152" s="35" t="n">
        <v>0</v>
      </c>
      <c r="I152" s="35" t="n">
        <v>0</v>
      </c>
      <c r="J152" s="35" t="n">
        <v>0</v>
      </c>
      <c r="K152" s="35" t="n">
        <v>0</v>
      </c>
      <c r="L152" s="35" t="n">
        <v>0</v>
      </c>
      <c r="M152" s="35" t="n">
        <v>0</v>
      </c>
      <c r="N152" s="35" t="n">
        <v>0</v>
      </c>
      <c r="O152" s="35" t="n">
        <v>1</v>
      </c>
      <c r="P152" s="35" t="n">
        <v>0</v>
      </c>
      <c r="Q152" s="35" t="n">
        <v>0</v>
      </c>
      <c r="R152" s="35" t="n">
        <v>0</v>
      </c>
      <c r="S152" s="35" t="n">
        <v>0</v>
      </c>
      <c r="T152" s="35" t="n">
        <v>0</v>
      </c>
      <c r="U152" s="35" t="n">
        <v>0</v>
      </c>
      <c r="V152" s="35" t="n">
        <v>0</v>
      </c>
      <c r="W152" s="35" t="n">
        <v>0</v>
      </c>
      <c r="X152" s="35" t="n">
        <v>0</v>
      </c>
      <c r="Y152" s="35" t="n">
        <v>0</v>
      </c>
      <c r="Z152" s="35" t="n">
        <v>1</v>
      </c>
      <c r="AA152" s="35" t="n">
        <v>0</v>
      </c>
      <c r="AB152" s="35" t="n">
        <v>0</v>
      </c>
      <c r="AC152" s="33" t="s">
        <v>253</v>
      </c>
      <c r="AD152" s="36" t="n">
        <f aca="false">B152-B151</f>
        <v>0.125</v>
      </c>
    </row>
    <row r="153" customFormat="false" ht="15" hidden="false" customHeight="false" outlineLevel="0" collapsed="false">
      <c r="A153" s="30" t="n">
        <v>150</v>
      </c>
      <c r="B153" s="31" t="n">
        <f aca="false">Summary!$B$5+IF(D153=1,0,IF(C153=1,Summary!$B$6,NA()))+(MATCH(1,E153:L153,0)-1)*Summary!$B$7+(MATCH(1,M153:T153,0)-1)*Summary!$B$8+(MATCH(1,U153:AB153,0)-1)*Summary!$B$9</f>
        <v>48.75</v>
      </c>
      <c r="C153" s="32" t="n">
        <v>0</v>
      </c>
      <c r="D153" s="32" t="n">
        <v>1</v>
      </c>
      <c r="E153" s="32" t="n">
        <v>0</v>
      </c>
      <c r="F153" s="32" t="n">
        <v>0</v>
      </c>
      <c r="G153" s="32" t="n">
        <v>1</v>
      </c>
      <c r="H153" s="32" t="n">
        <v>0</v>
      </c>
      <c r="I153" s="32" t="n">
        <v>0</v>
      </c>
      <c r="J153" s="32" t="n">
        <v>0</v>
      </c>
      <c r="K153" s="32" t="n">
        <v>0</v>
      </c>
      <c r="L153" s="32" t="n">
        <v>0</v>
      </c>
      <c r="M153" s="32" t="n">
        <v>0</v>
      </c>
      <c r="N153" s="32" t="n">
        <v>0</v>
      </c>
      <c r="O153" s="32" t="n">
        <v>1</v>
      </c>
      <c r="P153" s="32" t="n">
        <v>0</v>
      </c>
      <c r="Q153" s="32" t="n">
        <v>0</v>
      </c>
      <c r="R153" s="32" t="n">
        <v>0</v>
      </c>
      <c r="S153" s="32" t="n">
        <v>0</v>
      </c>
      <c r="T153" s="32" t="n">
        <v>0</v>
      </c>
      <c r="U153" s="32" t="n">
        <v>0</v>
      </c>
      <c r="V153" s="32" t="n">
        <v>0</v>
      </c>
      <c r="W153" s="32" t="n">
        <v>0</v>
      </c>
      <c r="X153" s="32" t="n">
        <v>0</v>
      </c>
      <c r="Y153" s="32" t="n">
        <v>0</v>
      </c>
      <c r="Z153" s="32" t="n">
        <v>0</v>
      </c>
      <c r="AA153" s="32" t="n">
        <v>1</v>
      </c>
      <c r="AB153" s="32" t="n">
        <v>0</v>
      </c>
      <c r="AC153" s="30" t="s">
        <v>254</v>
      </c>
      <c r="AD153" s="37" t="n">
        <f aca="false">B153-B152</f>
        <v>0.125</v>
      </c>
    </row>
    <row r="154" customFormat="false" ht="15" hidden="false" customHeight="false" outlineLevel="0" collapsed="false">
      <c r="A154" s="33" t="n">
        <v>151</v>
      </c>
      <c r="B154" s="34" t="n">
        <f aca="false">Summary!$B$5+IF(D154=1,0,IF(C154=1,Summary!$B$6,NA()))+(MATCH(1,E154:L154,0)-1)*Summary!$B$7+(MATCH(1,M154:T154,0)-1)*Summary!$B$8+(MATCH(1,U154:AB154,0)-1)*Summary!$B$9</f>
        <v>48.875</v>
      </c>
      <c r="C154" s="35" t="n">
        <v>0</v>
      </c>
      <c r="D154" s="35" t="n">
        <v>1</v>
      </c>
      <c r="E154" s="35" t="n">
        <v>0</v>
      </c>
      <c r="F154" s="35" t="n">
        <v>0</v>
      </c>
      <c r="G154" s="35" t="n">
        <v>1</v>
      </c>
      <c r="H154" s="35" t="n">
        <v>0</v>
      </c>
      <c r="I154" s="35" t="n">
        <v>0</v>
      </c>
      <c r="J154" s="35" t="n">
        <v>0</v>
      </c>
      <c r="K154" s="35" t="n">
        <v>0</v>
      </c>
      <c r="L154" s="35" t="n">
        <v>0</v>
      </c>
      <c r="M154" s="35" t="n">
        <v>0</v>
      </c>
      <c r="N154" s="35" t="n">
        <v>0</v>
      </c>
      <c r="O154" s="35" t="n">
        <v>1</v>
      </c>
      <c r="P154" s="35" t="n">
        <v>0</v>
      </c>
      <c r="Q154" s="35" t="n">
        <v>0</v>
      </c>
      <c r="R154" s="35" t="n">
        <v>0</v>
      </c>
      <c r="S154" s="35" t="n">
        <v>0</v>
      </c>
      <c r="T154" s="35" t="n">
        <v>0</v>
      </c>
      <c r="U154" s="35" t="n">
        <v>0</v>
      </c>
      <c r="V154" s="35" t="n">
        <v>0</v>
      </c>
      <c r="W154" s="35" t="n">
        <v>0</v>
      </c>
      <c r="X154" s="35" t="n">
        <v>0</v>
      </c>
      <c r="Y154" s="35" t="n">
        <v>0</v>
      </c>
      <c r="Z154" s="35" t="n">
        <v>0</v>
      </c>
      <c r="AA154" s="35" t="n">
        <v>0</v>
      </c>
      <c r="AB154" s="35" t="n">
        <v>1</v>
      </c>
      <c r="AC154" s="33" t="s">
        <v>255</v>
      </c>
      <c r="AD154" s="36" t="n">
        <f aca="false">B154-B153</f>
        <v>0.125</v>
      </c>
    </row>
    <row r="155" customFormat="false" ht="15" hidden="false" customHeight="false" outlineLevel="0" collapsed="false">
      <c r="A155" s="30" t="n">
        <v>152</v>
      </c>
      <c r="B155" s="31" t="n">
        <f aca="false">Summary!$B$5+IF(D155=1,0,IF(C155=1,Summary!$B$6,NA()))+(MATCH(1,E155:L155,0)-1)*Summary!$B$7+(MATCH(1,M155:T155,0)-1)*Summary!$B$8+(MATCH(1,U155:AB155,0)-1)*Summary!$B$9</f>
        <v>49</v>
      </c>
      <c r="C155" s="32" t="n">
        <v>0</v>
      </c>
      <c r="D155" s="32" t="n">
        <v>1</v>
      </c>
      <c r="E155" s="32" t="n">
        <v>0</v>
      </c>
      <c r="F155" s="32" t="n">
        <v>0</v>
      </c>
      <c r="G155" s="32" t="n">
        <v>1</v>
      </c>
      <c r="H155" s="32" t="n">
        <v>0</v>
      </c>
      <c r="I155" s="32" t="n">
        <v>0</v>
      </c>
      <c r="J155" s="32" t="n">
        <v>0</v>
      </c>
      <c r="K155" s="32" t="n">
        <v>0</v>
      </c>
      <c r="L155" s="32" t="n">
        <v>0</v>
      </c>
      <c r="M155" s="32" t="n">
        <v>0</v>
      </c>
      <c r="N155" s="32" t="n">
        <v>0</v>
      </c>
      <c r="O155" s="32" t="n">
        <v>0</v>
      </c>
      <c r="P155" s="32" t="n">
        <v>1</v>
      </c>
      <c r="Q155" s="32" t="n">
        <v>0</v>
      </c>
      <c r="R155" s="32" t="n">
        <v>0</v>
      </c>
      <c r="S155" s="32" t="n">
        <v>0</v>
      </c>
      <c r="T155" s="32" t="n">
        <v>0</v>
      </c>
      <c r="U155" s="32" t="n">
        <v>1</v>
      </c>
      <c r="V155" s="32" t="n">
        <v>0</v>
      </c>
      <c r="W155" s="32" t="n">
        <v>0</v>
      </c>
      <c r="X155" s="32" t="n">
        <v>0</v>
      </c>
      <c r="Y155" s="32" t="n">
        <v>0</v>
      </c>
      <c r="Z155" s="32" t="n">
        <v>0</v>
      </c>
      <c r="AA155" s="32" t="n">
        <v>0</v>
      </c>
      <c r="AB155" s="32" t="n">
        <v>0</v>
      </c>
      <c r="AC155" s="30" t="s">
        <v>256</v>
      </c>
      <c r="AD155" s="37" t="n">
        <f aca="false">B155-B154</f>
        <v>0.125</v>
      </c>
    </row>
    <row r="156" customFormat="false" ht="15" hidden="false" customHeight="false" outlineLevel="0" collapsed="false">
      <c r="A156" s="33" t="n">
        <v>153</v>
      </c>
      <c r="B156" s="34" t="n">
        <f aca="false">Summary!$B$5+IF(D156=1,0,IF(C156=1,Summary!$B$6,NA()))+(MATCH(1,E156:L156,0)-1)*Summary!$B$7+(MATCH(1,M156:T156,0)-1)*Summary!$B$8+(MATCH(1,U156:AB156,0)-1)*Summary!$B$9</f>
        <v>49.125</v>
      </c>
      <c r="C156" s="35" t="n">
        <v>0</v>
      </c>
      <c r="D156" s="35" t="n">
        <v>1</v>
      </c>
      <c r="E156" s="35" t="n">
        <v>0</v>
      </c>
      <c r="F156" s="35" t="n">
        <v>0</v>
      </c>
      <c r="G156" s="35" t="n">
        <v>1</v>
      </c>
      <c r="H156" s="35" t="n">
        <v>0</v>
      </c>
      <c r="I156" s="35" t="n">
        <v>0</v>
      </c>
      <c r="J156" s="35" t="n">
        <v>0</v>
      </c>
      <c r="K156" s="35" t="n">
        <v>0</v>
      </c>
      <c r="L156" s="35" t="n">
        <v>0</v>
      </c>
      <c r="M156" s="35" t="n">
        <v>0</v>
      </c>
      <c r="N156" s="35" t="n">
        <v>0</v>
      </c>
      <c r="O156" s="35" t="n">
        <v>0</v>
      </c>
      <c r="P156" s="35" t="n">
        <v>1</v>
      </c>
      <c r="Q156" s="35" t="n">
        <v>0</v>
      </c>
      <c r="R156" s="35" t="n">
        <v>0</v>
      </c>
      <c r="S156" s="35" t="n">
        <v>0</v>
      </c>
      <c r="T156" s="35" t="n">
        <v>0</v>
      </c>
      <c r="U156" s="35" t="n">
        <v>0</v>
      </c>
      <c r="V156" s="35" t="n">
        <v>1</v>
      </c>
      <c r="W156" s="35" t="n">
        <v>0</v>
      </c>
      <c r="X156" s="35" t="n">
        <v>0</v>
      </c>
      <c r="Y156" s="35" t="n">
        <v>0</v>
      </c>
      <c r="Z156" s="35" t="n">
        <v>0</v>
      </c>
      <c r="AA156" s="35" t="n">
        <v>0</v>
      </c>
      <c r="AB156" s="35" t="n">
        <v>0</v>
      </c>
      <c r="AC156" s="33" t="s">
        <v>257</v>
      </c>
      <c r="AD156" s="36" t="n">
        <f aca="false">B156-B155</f>
        <v>0.125</v>
      </c>
    </row>
    <row r="157" customFormat="false" ht="15" hidden="false" customHeight="false" outlineLevel="0" collapsed="false">
      <c r="A157" s="30" t="n">
        <v>154</v>
      </c>
      <c r="B157" s="31" t="n">
        <f aca="false">Summary!$B$5+IF(D157=1,0,IF(C157=1,Summary!$B$6,NA()))+(MATCH(1,E157:L157,0)-1)*Summary!$B$7+(MATCH(1,M157:T157,0)-1)*Summary!$B$8+(MATCH(1,U157:AB157,0)-1)*Summary!$B$9</f>
        <v>49.25</v>
      </c>
      <c r="C157" s="32" t="n">
        <v>0</v>
      </c>
      <c r="D157" s="32" t="n">
        <v>1</v>
      </c>
      <c r="E157" s="32" t="n">
        <v>0</v>
      </c>
      <c r="F157" s="32" t="n">
        <v>0</v>
      </c>
      <c r="G157" s="32" t="n">
        <v>1</v>
      </c>
      <c r="H157" s="32" t="n">
        <v>0</v>
      </c>
      <c r="I157" s="32" t="n">
        <v>0</v>
      </c>
      <c r="J157" s="32" t="n">
        <v>0</v>
      </c>
      <c r="K157" s="32" t="n">
        <v>0</v>
      </c>
      <c r="L157" s="32" t="n">
        <v>0</v>
      </c>
      <c r="M157" s="32" t="n">
        <v>0</v>
      </c>
      <c r="N157" s="32" t="n">
        <v>0</v>
      </c>
      <c r="O157" s="32" t="n">
        <v>0</v>
      </c>
      <c r="P157" s="32" t="n">
        <v>1</v>
      </c>
      <c r="Q157" s="32" t="n">
        <v>0</v>
      </c>
      <c r="R157" s="32" t="n">
        <v>0</v>
      </c>
      <c r="S157" s="32" t="n">
        <v>0</v>
      </c>
      <c r="T157" s="32" t="n">
        <v>0</v>
      </c>
      <c r="U157" s="32" t="n">
        <v>0</v>
      </c>
      <c r="V157" s="32" t="n">
        <v>0</v>
      </c>
      <c r="W157" s="32" t="n">
        <v>1</v>
      </c>
      <c r="X157" s="32" t="n">
        <v>0</v>
      </c>
      <c r="Y157" s="32" t="n">
        <v>0</v>
      </c>
      <c r="Z157" s="32" t="n">
        <v>0</v>
      </c>
      <c r="AA157" s="32" t="n">
        <v>0</v>
      </c>
      <c r="AB157" s="32" t="n">
        <v>0</v>
      </c>
      <c r="AC157" s="30" t="s">
        <v>258</v>
      </c>
      <c r="AD157" s="37" t="n">
        <f aca="false">B157-B156</f>
        <v>0.125</v>
      </c>
    </row>
    <row r="158" customFormat="false" ht="15" hidden="false" customHeight="false" outlineLevel="0" collapsed="false">
      <c r="A158" s="33" t="n">
        <v>155</v>
      </c>
      <c r="B158" s="34" t="n">
        <f aca="false">Summary!$B$5+IF(D158=1,0,IF(C158=1,Summary!$B$6,NA()))+(MATCH(1,E158:L158,0)-1)*Summary!$B$7+(MATCH(1,M158:T158,0)-1)*Summary!$B$8+(MATCH(1,U158:AB158,0)-1)*Summary!$B$9</f>
        <v>49.375</v>
      </c>
      <c r="C158" s="35" t="n">
        <v>0</v>
      </c>
      <c r="D158" s="35" t="n">
        <v>1</v>
      </c>
      <c r="E158" s="35" t="n">
        <v>0</v>
      </c>
      <c r="F158" s="35" t="n">
        <v>0</v>
      </c>
      <c r="G158" s="35" t="n">
        <v>1</v>
      </c>
      <c r="H158" s="35" t="n">
        <v>0</v>
      </c>
      <c r="I158" s="35" t="n">
        <v>0</v>
      </c>
      <c r="J158" s="35" t="n">
        <v>0</v>
      </c>
      <c r="K158" s="35" t="n">
        <v>0</v>
      </c>
      <c r="L158" s="35" t="n">
        <v>0</v>
      </c>
      <c r="M158" s="35" t="n">
        <v>0</v>
      </c>
      <c r="N158" s="35" t="n">
        <v>0</v>
      </c>
      <c r="O158" s="35" t="n">
        <v>0</v>
      </c>
      <c r="P158" s="35" t="n">
        <v>1</v>
      </c>
      <c r="Q158" s="35" t="n">
        <v>0</v>
      </c>
      <c r="R158" s="35" t="n">
        <v>0</v>
      </c>
      <c r="S158" s="35" t="n">
        <v>0</v>
      </c>
      <c r="T158" s="35" t="n">
        <v>0</v>
      </c>
      <c r="U158" s="35" t="n">
        <v>0</v>
      </c>
      <c r="V158" s="35" t="n">
        <v>0</v>
      </c>
      <c r="W158" s="35" t="n">
        <v>0</v>
      </c>
      <c r="X158" s="35" t="n">
        <v>1</v>
      </c>
      <c r="Y158" s="35" t="n">
        <v>0</v>
      </c>
      <c r="Z158" s="35" t="n">
        <v>0</v>
      </c>
      <c r="AA158" s="35" t="n">
        <v>0</v>
      </c>
      <c r="AB158" s="35" t="n">
        <v>0</v>
      </c>
      <c r="AC158" s="33" t="s">
        <v>259</v>
      </c>
      <c r="AD158" s="36" t="n">
        <f aca="false">B158-B157</f>
        <v>0.125</v>
      </c>
    </row>
    <row r="159" customFormat="false" ht="15" hidden="false" customHeight="false" outlineLevel="0" collapsed="false">
      <c r="A159" s="30" t="n">
        <v>156</v>
      </c>
      <c r="B159" s="31" t="n">
        <f aca="false">Summary!$B$5+IF(D159=1,0,IF(C159=1,Summary!$B$6,NA()))+(MATCH(1,E159:L159,0)-1)*Summary!$B$7+(MATCH(1,M159:T159,0)-1)*Summary!$B$8+(MATCH(1,U159:AB159,0)-1)*Summary!$B$9</f>
        <v>49.5</v>
      </c>
      <c r="C159" s="32" t="n">
        <v>0</v>
      </c>
      <c r="D159" s="32" t="n">
        <v>1</v>
      </c>
      <c r="E159" s="32" t="n">
        <v>0</v>
      </c>
      <c r="F159" s="32" t="n">
        <v>0</v>
      </c>
      <c r="G159" s="32" t="n">
        <v>1</v>
      </c>
      <c r="H159" s="32" t="n">
        <v>0</v>
      </c>
      <c r="I159" s="32" t="n">
        <v>0</v>
      </c>
      <c r="J159" s="32" t="n">
        <v>0</v>
      </c>
      <c r="K159" s="32" t="n">
        <v>0</v>
      </c>
      <c r="L159" s="32" t="n">
        <v>0</v>
      </c>
      <c r="M159" s="32" t="n">
        <v>0</v>
      </c>
      <c r="N159" s="32" t="n">
        <v>0</v>
      </c>
      <c r="O159" s="32" t="n">
        <v>0</v>
      </c>
      <c r="P159" s="32" t="n">
        <v>1</v>
      </c>
      <c r="Q159" s="32" t="n">
        <v>0</v>
      </c>
      <c r="R159" s="32" t="n">
        <v>0</v>
      </c>
      <c r="S159" s="32" t="n">
        <v>0</v>
      </c>
      <c r="T159" s="32" t="n">
        <v>0</v>
      </c>
      <c r="U159" s="32" t="n">
        <v>0</v>
      </c>
      <c r="V159" s="32" t="n">
        <v>0</v>
      </c>
      <c r="W159" s="32" t="n">
        <v>0</v>
      </c>
      <c r="X159" s="32" t="n">
        <v>0</v>
      </c>
      <c r="Y159" s="32" t="n">
        <v>1</v>
      </c>
      <c r="Z159" s="32" t="n">
        <v>0</v>
      </c>
      <c r="AA159" s="32" t="n">
        <v>0</v>
      </c>
      <c r="AB159" s="32" t="n">
        <v>0</v>
      </c>
      <c r="AC159" s="30" t="s">
        <v>260</v>
      </c>
      <c r="AD159" s="37" t="n">
        <f aca="false">B159-B158</f>
        <v>0.125</v>
      </c>
    </row>
    <row r="160" customFormat="false" ht="15" hidden="false" customHeight="false" outlineLevel="0" collapsed="false">
      <c r="A160" s="33" t="n">
        <v>157</v>
      </c>
      <c r="B160" s="34" t="n">
        <f aca="false">Summary!$B$5+IF(D160=1,0,IF(C160=1,Summary!$B$6,NA()))+(MATCH(1,E160:L160,0)-1)*Summary!$B$7+(MATCH(1,M160:T160,0)-1)*Summary!$B$8+(MATCH(1,U160:AB160,0)-1)*Summary!$B$9</f>
        <v>49.625</v>
      </c>
      <c r="C160" s="35" t="n">
        <v>0</v>
      </c>
      <c r="D160" s="35" t="n">
        <v>1</v>
      </c>
      <c r="E160" s="35" t="n">
        <v>0</v>
      </c>
      <c r="F160" s="35" t="n">
        <v>0</v>
      </c>
      <c r="G160" s="35" t="n">
        <v>1</v>
      </c>
      <c r="H160" s="35" t="n">
        <v>0</v>
      </c>
      <c r="I160" s="35" t="n">
        <v>0</v>
      </c>
      <c r="J160" s="35" t="n">
        <v>0</v>
      </c>
      <c r="K160" s="35" t="n">
        <v>0</v>
      </c>
      <c r="L160" s="35" t="n">
        <v>0</v>
      </c>
      <c r="M160" s="35" t="n">
        <v>0</v>
      </c>
      <c r="N160" s="35" t="n">
        <v>0</v>
      </c>
      <c r="O160" s="35" t="n">
        <v>0</v>
      </c>
      <c r="P160" s="35" t="n">
        <v>1</v>
      </c>
      <c r="Q160" s="35" t="n">
        <v>0</v>
      </c>
      <c r="R160" s="35" t="n">
        <v>0</v>
      </c>
      <c r="S160" s="35" t="n">
        <v>0</v>
      </c>
      <c r="T160" s="35" t="n">
        <v>0</v>
      </c>
      <c r="U160" s="35" t="n">
        <v>0</v>
      </c>
      <c r="V160" s="35" t="n">
        <v>0</v>
      </c>
      <c r="W160" s="35" t="n">
        <v>0</v>
      </c>
      <c r="X160" s="35" t="n">
        <v>0</v>
      </c>
      <c r="Y160" s="35" t="n">
        <v>0</v>
      </c>
      <c r="Z160" s="35" t="n">
        <v>1</v>
      </c>
      <c r="AA160" s="35" t="n">
        <v>0</v>
      </c>
      <c r="AB160" s="35" t="n">
        <v>0</v>
      </c>
      <c r="AC160" s="33" t="s">
        <v>261</v>
      </c>
      <c r="AD160" s="36" t="n">
        <f aca="false">B160-B159</f>
        <v>0.125</v>
      </c>
    </row>
    <row r="161" customFormat="false" ht="15" hidden="false" customHeight="false" outlineLevel="0" collapsed="false">
      <c r="A161" s="30" t="n">
        <v>158</v>
      </c>
      <c r="B161" s="31" t="n">
        <f aca="false">Summary!$B$5+IF(D161=1,0,IF(C161=1,Summary!$B$6,NA()))+(MATCH(1,E161:L161,0)-1)*Summary!$B$7+(MATCH(1,M161:T161,0)-1)*Summary!$B$8+(MATCH(1,U161:AB161,0)-1)*Summary!$B$9</f>
        <v>49.75</v>
      </c>
      <c r="C161" s="32" t="n">
        <v>0</v>
      </c>
      <c r="D161" s="32" t="n">
        <v>1</v>
      </c>
      <c r="E161" s="32" t="n">
        <v>0</v>
      </c>
      <c r="F161" s="32" t="n">
        <v>0</v>
      </c>
      <c r="G161" s="32" t="n">
        <v>1</v>
      </c>
      <c r="H161" s="32" t="n">
        <v>0</v>
      </c>
      <c r="I161" s="32" t="n">
        <v>0</v>
      </c>
      <c r="J161" s="32" t="n">
        <v>0</v>
      </c>
      <c r="K161" s="32" t="n">
        <v>0</v>
      </c>
      <c r="L161" s="32" t="n">
        <v>0</v>
      </c>
      <c r="M161" s="32" t="n">
        <v>0</v>
      </c>
      <c r="N161" s="32" t="n">
        <v>0</v>
      </c>
      <c r="O161" s="32" t="n">
        <v>0</v>
      </c>
      <c r="P161" s="32" t="n">
        <v>1</v>
      </c>
      <c r="Q161" s="32" t="n">
        <v>0</v>
      </c>
      <c r="R161" s="32" t="n">
        <v>0</v>
      </c>
      <c r="S161" s="32" t="n">
        <v>0</v>
      </c>
      <c r="T161" s="32" t="n">
        <v>0</v>
      </c>
      <c r="U161" s="32" t="n">
        <v>0</v>
      </c>
      <c r="V161" s="32" t="n">
        <v>0</v>
      </c>
      <c r="W161" s="32" t="n">
        <v>0</v>
      </c>
      <c r="X161" s="32" t="n">
        <v>0</v>
      </c>
      <c r="Y161" s="32" t="n">
        <v>0</v>
      </c>
      <c r="Z161" s="32" t="n">
        <v>0</v>
      </c>
      <c r="AA161" s="32" t="n">
        <v>1</v>
      </c>
      <c r="AB161" s="32" t="n">
        <v>0</v>
      </c>
      <c r="AC161" s="30" t="s">
        <v>262</v>
      </c>
      <c r="AD161" s="37" t="n">
        <f aca="false">B161-B160</f>
        <v>0.125</v>
      </c>
    </row>
    <row r="162" customFormat="false" ht="15" hidden="false" customHeight="false" outlineLevel="0" collapsed="false">
      <c r="A162" s="33" t="n">
        <v>159</v>
      </c>
      <c r="B162" s="34" t="n">
        <f aca="false">Summary!$B$5+IF(D162=1,0,IF(C162=1,Summary!$B$6,NA()))+(MATCH(1,E162:L162,0)-1)*Summary!$B$7+(MATCH(1,M162:T162,0)-1)*Summary!$B$8+(MATCH(1,U162:AB162,0)-1)*Summary!$B$9</f>
        <v>49.875</v>
      </c>
      <c r="C162" s="35" t="n">
        <v>0</v>
      </c>
      <c r="D162" s="35" t="n">
        <v>1</v>
      </c>
      <c r="E162" s="35" t="n">
        <v>0</v>
      </c>
      <c r="F162" s="35" t="n">
        <v>0</v>
      </c>
      <c r="G162" s="35" t="n">
        <v>1</v>
      </c>
      <c r="H162" s="35" t="n">
        <v>0</v>
      </c>
      <c r="I162" s="35" t="n">
        <v>0</v>
      </c>
      <c r="J162" s="35" t="n">
        <v>0</v>
      </c>
      <c r="K162" s="35" t="n">
        <v>0</v>
      </c>
      <c r="L162" s="35" t="n">
        <v>0</v>
      </c>
      <c r="M162" s="35" t="n">
        <v>0</v>
      </c>
      <c r="N162" s="35" t="n">
        <v>0</v>
      </c>
      <c r="O162" s="35" t="n">
        <v>0</v>
      </c>
      <c r="P162" s="35" t="n">
        <v>1</v>
      </c>
      <c r="Q162" s="35" t="n">
        <v>0</v>
      </c>
      <c r="R162" s="35" t="n">
        <v>0</v>
      </c>
      <c r="S162" s="35" t="n">
        <v>0</v>
      </c>
      <c r="T162" s="35" t="n">
        <v>0</v>
      </c>
      <c r="U162" s="35" t="n">
        <v>0</v>
      </c>
      <c r="V162" s="35" t="n">
        <v>0</v>
      </c>
      <c r="W162" s="35" t="n">
        <v>0</v>
      </c>
      <c r="X162" s="35" t="n">
        <v>0</v>
      </c>
      <c r="Y162" s="35" t="n">
        <v>0</v>
      </c>
      <c r="Z162" s="35" t="n">
        <v>0</v>
      </c>
      <c r="AA162" s="35" t="n">
        <v>0</v>
      </c>
      <c r="AB162" s="35" t="n">
        <v>1</v>
      </c>
      <c r="AC162" s="33" t="s">
        <v>263</v>
      </c>
      <c r="AD162" s="36" t="n">
        <f aca="false">B162-B161</f>
        <v>0.125</v>
      </c>
    </row>
    <row r="163" customFormat="false" ht="15" hidden="false" customHeight="false" outlineLevel="0" collapsed="false">
      <c r="A163" s="30" t="n">
        <v>160</v>
      </c>
      <c r="B163" s="31" t="n">
        <f aca="false">Summary!$B$5+IF(D163=1,0,IF(C163=1,Summary!$B$6,NA()))+(MATCH(1,E163:L163,0)-1)*Summary!$B$7+(MATCH(1,M163:T163,0)-1)*Summary!$B$8+(MATCH(1,U163:AB163,0)-1)*Summary!$B$9</f>
        <v>50</v>
      </c>
      <c r="C163" s="32" t="n">
        <v>0</v>
      </c>
      <c r="D163" s="32" t="n">
        <v>1</v>
      </c>
      <c r="E163" s="32" t="n">
        <v>0</v>
      </c>
      <c r="F163" s="32" t="n">
        <v>0</v>
      </c>
      <c r="G163" s="32" t="n">
        <v>1</v>
      </c>
      <c r="H163" s="32" t="n">
        <v>0</v>
      </c>
      <c r="I163" s="32" t="n">
        <v>0</v>
      </c>
      <c r="J163" s="32" t="n">
        <v>0</v>
      </c>
      <c r="K163" s="32" t="n">
        <v>0</v>
      </c>
      <c r="L163" s="32" t="n">
        <v>0</v>
      </c>
      <c r="M163" s="32" t="n">
        <v>0</v>
      </c>
      <c r="N163" s="32" t="n">
        <v>0</v>
      </c>
      <c r="O163" s="32" t="n">
        <v>0</v>
      </c>
      <c r="P163" s="32" t="n">
        <v>0</v>
      </c>
      <c r="Q163" s="32" t="n">
        <v>1</v>
      </c>
      <c r="R163" s="32" t="n">
        <v>0</v>
      </c>
      <c r="S163" s="32" t="n">
        <v>0</v>
      </c>
      <c r="T163" s="32" t="n">
        <v>0</v>
      </c>
      <c r="U163" s="32" t="n">
        <v>1</v>
      </c>
      <c r="V163" s="32" t="n">
        <v>0</v>
      </c>
      <c r="W163" s="32" t="n">
        <v>0</v>
      </c>
      <c r="X163" s="32" t="n">
        <v>0</v>
      </c>
      <c r="Y163" s="32" t="n">
        <v>0</v>
      </c>
      <c r="Z163" s="32" t="n">
        <v>0</v>
      </c>
      <c r="AA163" s="32" t="n">
        <v>0</v>
      </c>
      <c r="AB163" s="32" t="n">
        <v>0</v>
      </c>
      <c r="AC163" s="30" t="s">
        <v>264</v>
      </c>
      <c r="AD163" s="37" t="n">
        <f aca="false">B163-B162</f>
        <v>0.125</v>
      </c>
    </row>
    <row r="164" customFormat="false" ht="15" hidden="false" customHeight="false" outlineLevel="0" collapsed="false">
      <c r="A164" s="33" t="n">
        <v>161</v>
      </c>
      <c r="B164" s="34" t="n">
        <f aca="false">Summary!$B$5+IF(D164=1,0,IF(C164=1,Summary!$B$6,NA()))+(MATCH(1,E164:L164,0)-1)*Summary!$B$7+(MATCH(1,M164:T164,0)-1)*Summary!$B$8+(MATCH(1,U164:AB164,0)-1)*Summary!$B$9</f>
        <v>50.125</v>
      </c>
      <c r="C164" s="35" t="n">
        <v>0</v>
      </c>
      <c r="D164" s="35" t="n">
        <v>1</v>
      </c>
      <c r="E164" s="35" t="n">
        <v>0</v>
      </c>
      <c r="F164" s="35" t="n">
        <v>0</v>
      </c>
      <c r="G164" s="35" t="n">
        <v>1</v>
      </c>
      <c r="H164" s="35" t="n">
        <v>0</v>
      </c>
      <c r="I164" s="35" t="n">
        <v>0</v>
      </c>
      <c r="J164" s="35" t="n">
        <v>0</v>
      </c>
      <c r="K164" s="35" t="n">
        <v>0</v>
      </c>
      <c r="L164" s="35" t="n">
        <v>0</v>
      </c>
      <c r="M164" s="35" t="n">
        <v>0</v>
      </c>
      <c r="N164" s="35" t="n">
        <v>0</v>
      </c>
      <c r="O164" s="35" t="n">
        <v>0</v>
      </c>
      <c r="P164" s="35" t="n">
        <v>0</v>
      </c>
      <c r="Q164" s="35" t="n">
        <v>1</v>
      </c>
      <c r="R164" s="35" t="n">
        <v>0</v>
      </c>
      <c r="S164" s="35" t="n">
        <v>0</v>
      </c>
      <c r="T164" s="35" t="n">
        <v>0</v>
      </c>
      <c r="U164" s="35" t="n">
        <v>0</v>
      </c>
      <c r="V164" s="35" t="n">
        <v>1</v>
      </c>
      <c r="W164" s="35" t="n">
        <v>0</v>
      </c>
      <c r="X164" s="35" t="n">
        <v>0</v>
      </c>
      <c r="Y164" s="35" t="n">
        <v>0</v>
      </c>
      <c r="Z164" s="35" t="n">
        <v>0</v>
      </c>
      <c r="AA164" s="35" t="n">
        <v>0</v>
      </c>
      <c r="AB164" s="35" t="n">
        <v>0</v>
      </c>
      <c r="AC164" s="33" t="s">
        <v>265</v>
      </c>
      <c r="AD164" s="36" t="n">
        <f aca="false">B164-B163</f>
        <v>0.125</v>
      </c>
    </row>
    <row r="165" customFormat="false" ht="15" hidden="false" customHeight="false" outlineLevel="0" collapsed="false">
      <c r="A165" s="30" t="n">
        <v>162</v>
      </c>
      <c r="B165" s="31" t="n">
        <f aca="false">Summary!$B$5+IF(D165=1,0,IF(C165=1,Summary!$B$6,NA()))+(MATCH(1,E165:L165,0)-1)*Summary!$B$7+(MATCH(1,M165:T165,0)-1)*Summary!$B$8+(MATCH(1,U165:AB165,0)-1)*Summary!$B$9</f>
        <v>50.25</v>
      </c>
      <c r="C165" s="32" t="n">
        <v>0</v>
      </c>
      <c r="D165" s="32" t="n">
        <v>1</v>
      </c>
      <c r="E165" s="32" t="n">
        <v>0</v>
      </c>
      <c r="F165" s="32" t="n">
        <v>0</v>
      </c>
      <c r="G165" s="32" t="n">
        <v>1</v>
      </c>
      <c r="H165" s="32" t="n">
        <v>0</v>
      </c>
      <c r="I165" s="32" t="n">
        <v>0</v>
      </c>
      <c r="J165" s="32" t="n">
        <v>0</v>
      </c>
      <c r="K165" s="32" t="n">
        <v>0</v>
      </c>
      <c r="L165" s="32" t="n">
        <v>0</v>
      </c>
      <c r="M165" s="32" t="n">
        <v>0</v>
      </c>
      <c r="N165" s="32" t="n">
        <v>0</v>
      </c>
      <c r="O165" s="32" t="n">
        <v>0</v>
      </c>
      <c r="P165" s="32" t="n">
        <v>0</v>
      </c>
      <c r="Q165" s="32" t="n">
        <v>1</v>
      </c>
      <c r="R165" s="32" t="n">
        <v>0</v>
      </c>
      <c r="S165" s="32" t="n">
        <v>0</v>
      </c>
      <c r="T165" s="32" t="n">
        <v>0</v>
      </c>
      <c r="U165" s="32" t="n">
        <v>0</v>
      </c>
      <c r="V165" s="32" t="n">
        <v>0</v>
      </c>
      <c r="W165" s="32" t="n">
        <v>1</v>
      </c>
      <c r="X165" s="32" t="n">
        <v>0</v>
      </c>
      <c r="Y165" s="32" t="n">
        <v>0</v>
      </c>
      <c r="Z165" s="32" t="n">
        <v>0</v>
      </c>
      <c r="AA165" s="32" t="n">
        <v>0</v>
      </c>
      <c r="AB165" s="32" t="n">
        <v>0</v>
      </c>
      <c r="AC165" s="30" t="s">
        <v>266</v>
      </c>
      <c r="AD165" s="37" t="n">
        <f aca="false">B165-B164</f>
        <v>0.125</v>
      </c>
    </row>
    <row r="166" customFormat="false" ht="15" hidden="false" customHeight="false" outlineLevel="0" collapsed="false">
      <c r="A166" s="33" t="n">
        <v>163</v>
      </c>
      <c r="B166" s="34" t="n">
        <f aca="false">Summary!$B$5+IF(D166=1,0,IF(C166=1,Summary!$B$6,NA()))+(MATCH(1,E166:L166,0)-1)*Summary!$B$7+(MATCH(1,M166:T166,0)-1)*Summary!$B$8+(MATCH(1,U166:AB166,0)-1)*Summary!$B$9</f>
        <v>50.375</v>
      </c>
      <c r="C166" s="35" t="n">
        <v>0</v>
      </c>
      <c r="D166" s="35" t="n">
        <v>1</v>
      </c>
      <c r="E166" s="35" t="n">
        <v>0</v>
      </c>
      <c r="F166" s="35" t="n">
        <v>0</v>
      </c>
      <c r="G166" s="35" t="n">
        <v>1</v>
      </c>
      <c r="H166" s="35" t="n">
        <v>0</v>
      </c>
      <c r="I166" s="35" t="n">
        <v>0</v>
      </c>
      <c r="J166" s="35" t="n">
        <v>0</v>
      </c>
      <c r="K166" s="35" t="n">
        <v>0</v>
      </c>
      <c r="L166" s="35" t="n">
        <v>0</v>
      </c>
      <c r="M166" s="35" t="n">
        <v>0</v>
      </c>
      <c r="N166" s="35" t="n">
        <v>0</v>
      </c>
      <c r="O166" s="35" t="n">
        <v>0</v>
      </c>
      <c r="P166" s="35" t="n">
        <v>0</v>
      </c>
      <c r="Q166" s="35" t="n">
        <v>1</v>
      </c>
      <c r="R166" s="35" t="n">
        <v>0</v>
      </c>
      <c r="S166" s="35" t="n">
        <v>0</v>
      </c>
      <c r="T166" s="35" t="n">
        <v>0</v>
      </c>
      <c r="U166" s="35" t="n">
        <v>0</v>
      </c>
      <c r="V166" s="35" t="n">
        <v>0</v>
      </c>
      <c r="W166" s="35" t="n">
        <v>0</v>
      </c>
      <c r="X166" s="35" t="n">
        <v>1</v>
      </c>
      <c r="Y166" s="35" t="n">
        <v>0</v>
      </c>
      <c r="Z166" s="35" t="n">
        <v>0</v>
      </c>
      <c r="AA166" s="35" t="n">
        <v>0</v>
      </c>
      <c r="AB166" s="35" t="n">
        <v>0</v>
      </c>
      <c r="AC166" s="33" t="s">
        <v>267</v>
      </c>
      <c r="AD166" s="36" t="n">
        <f aca="false">B166-B165</f>
        <v>0.125</v>
      </c>
    </row>
    <row r="167" customFormat="false" ht="15" hidden="false" customHeight="false" outlineLevel="0" collapsed="false">
      <c r="A167" s="30" t="n">
        <v>164</v>
      </c>
      <c r="B167" s="31" t="n">
        <f aca="false">Summary!$B$5+IF(D167=1,0,IF(C167=1,Summary!$B$6,NA()))+(MATCH(1,E167:L167,0)-1)*Summary!$B$7+(MATCH(1,M167:T167,0)-1)*Summary!$B$8+(MATCH(1,U167:AB167,0)-1)*Summary!$B$9</f>
        <v>50.5</v>
      </c>
      <c r="C167" s="32" t="n">
        <v>0</v>
      </c>
      <c r="D167" s="32" t="n">
        <v>1</v>
      </c>
      <c r="E167" s="32" t="n">
        <v>0</v>
      </c>
      <c r="F167" s="32" t="n">
        <v>0</v>
      </c>
      <c r="G167" s="32" t="n">
        <v>1</v>
      </c>
      <c r="H167" s="32" t="n">
        <v>0</v>
      </c>
      <c r="I167" s="32" t="n">
        <v>0</v>
      </c>
      <c r="J167" s="32" t="n">
        <v>0</v>
      </c>
      <c r="K167" s="32" t="n">
        <v>0</v>
      </c>
      <c r="L167" s="32" t="n">
        <v>0</v>
      </c>
      <c r="M167" s="32" t="n">
        <v>0</v>
      </c>
      <c r="N167" s="32" t="n">
        <v>0</v>
      </c>
      <c r="O167" s="32" t="n">
        <v>0</v>
      </c>
      <c r="P167" s="32" t="n">
        <v>0</v>
      </c>
      <c r="Q167" s="32" t="n">
        <v>1</v>
      </c>
      <c r="R167" s="32" t="n">
        <v>0</v>
      </c>
      <c r="S167" s="32" t="n">
        <v>0</v>
      </c>
      <c r="T167" s="32" t="n">
        <v>0</v>
      </c>
      <c r="U167" s="32" t="n">
        <v>0</v>
      </c>
      <c r="V167" s="32" t="n">
        <v>0</v>
      </c>
      <c r="W167" s="32" t="n">
        <v>0</v>
      </c>
      <c r="X167" s="32" t="n">
        <v>0</v>
      </c>
      <c r="Y167" s="32" t="n">
        <v>1</v>
      </c>
      <c r="Z167" s="32" t="n">
        <v>0</v>
      </c>
      <c r="AA167" s="32" t="n">
        <v>0</v>
      </c>
      <c r="AB167" s="32" t="n">
        <v>0</v>
      </c>
      <c r="AC167" s="30" t="s">
        <v>268</v>
      </c>
      <c r="AD167" s="37" t="n">
        <f aca="false">B167-B166</f>
        <v>0.125</v>
      </c>
    </row>
    <row r="168" customFormat="false" ht="15" hidden="false" customHeight="false" outlineLevel="0" collapsed="false">
      <c r="A168" s="33" t="n">
        <v>165</v>
      </c>
      <c r="B168" s="34" t="n">
        <f aca="false">Summary!$B$5+IF(D168=1,0,IF(C168=1,Summary!$B$6,NA()))+(MATCH(1,E168:L168,0)-1)*Summary!$B$7+(MATCH(1,M168:T168,0)-1)*Summary!$B$8+(MATCH(1,U168:AB168,0)-1)*Summary!$B$9</f>
        <v>50.625</v>
      </c>
      <c r="C168" s="35" t="n">
        <v>0</v>
      </c>
      <c r="D168" s="35" t="n">
        <v>1</v>
      </c>
      <c r="E168" s="35" t="n">
        <v>0</v>
      </c>
      <c r="F168" s="35" t="n">
        <v>0</v>
      </c>
      <c r="G168" s="35" t="n">
        <v>1</v>
      </c>
      <c r="H168" s="35" t="n">
        <v>0</v>
      </c>
      <c r="I168" s="35" t="n">
        <v>0</v>
      </c>
      <c r="J168" s="35" t="n">
        <v>0</v>
      </c>
      <c r="K168" s="35" t="n">
        <v>0</v>
      </c>
      <c r="L168" s="35" t="n">
        <v>0</v>
      </c>
      <c r="M168" s="35" t="n">
        <v>0</v>
      </c>
      <c r="N168" s="35" t="n">
        <v>0</v>
      </c>
      <c r="O168" s="35" t="n">
        <v>0</v>
      </c>
      <c r="P168" s="35" t="n">
        <v>0</v>
      </c>
      <c r="Q168" s="35" t="n">
        <v>1</v>
      </c>
      <c r="R168" s="35" t="n">
        <v>0</v>
      </c>
      <c r="S168" s="35" t="n">
        <v>0</v>
      </c>
      <c r="T168" s="35" t="n">
        <v>0</v>
      </c>
      <c r="U168" s="35" t="n">
        <v>0</v>
      </c>
      <c r="V168" s="35" t="n">
        <v>0</v>
      </c>
      <c r="W168" s="35" t="n">
        <v>0</v>
      </c>
      <c r="X168" s="35" t="n">
        <v>0</v>
      </c>
      <c r="Y168" s="35" t="n">
        <v>0</v>
      </c>
      <c r="Z168" s="35" t="n">
        <v>1</v>
      </c>
      <c r="AA168" s="35" t="n">
        <v>0</v>
      </c>
      <c r="AB168" s="35" t="n">
        <v>0</v>
      </c>
      <c r="AC168" s="33" t="s">
        <v>269</v>
      </c>
      <c r="AD168" s="36" t="n">
        <f aca="false">B168-B167</f>
        <v>0.125</v>
      </c>
    </row>
    <row r="169" customFormat="false" ht="15" hidden="false" customHeight="false" outlineLevel="0" collapsed="false">
      <c r="A169" s="30" t="n">
        <v>166</v>
      </c>
      <c r="B169" s="31" t="n">
        <f aca="false">Summary!$B$5+IF(D169=1,0,IF(C169=1,Summary!$B$6,NA()))+(MATCH(1,E169:L169,0)-1)*Summary!$B$7+(MATCH(1,M169:T169,0)-1)*Summary!$B$8+(MATCH(1,U169:AB169,0)-1)*Summary!$B$9</f>
        <v>50.75</v>
      </c>
      <c r="C169" s="32" t="n">
        <v>0</v>
      </c>
      <c r="D169" s="32" t="n">
        <v>1</v>
      </c>
      <c r="E169" s="32" t="n">
        <v>0</v>
      </c>
      <c r="F169" s="32" t="n">
        <v>0</v>
      </c>
      <c r="G169" s="32" t="n">
        <v>1</v>
      </c>
      <c r="H169" s="32" t="n">
        <v>0</v>
      </c>
      <c r="I169" s="32" t="n">
        <v>0</v>
      </c>
      <c r="J169" s="32" t="n">
        <v>0</v>
      </c>
      <c r="K169" s="32" t="n">
        <v>0</v>
      </c>
      <c r="L169" s="32" t="n">
        <v>0</v>
      </c>
      <c r="M169" s="32" t="n">
        <v>0</v>
      </c>
      <c r="N169" s="32" t="n">
        <v>0</v>
      </c>
      <c r="O169" s="32" t="n">
        <v>0</v>
      </c>
      <c r="P169" s="32" t="n">
        <v>0</v>
      </c>
      <c r="Q169" s="32" t="n">
        <v>1</v>
      </c>
      <c r="R169" s="32" t="n">
        <v>0</v>
      </c>
      <c r="S169" s="32" t="n">
        <v>0</v>
      </c>
      <c r="T169" s="32" t="n">
        <v>0</v>
      </c>
      <c r="U169" s="32" t="n">
        <v>0</v>
      </c>
      <c r="V169" s="32" t="n">
        <v>0</v>
      </c>
      <c r="W169" s="32" t="n">
        <v>0</v>
      </c>
      <c r="X169" s="32" t="n">
        <v>0</v>
      </c>
      <c r="Y169" s="32" t="n">
        <v>0</v>
      </c>
      <c r="Z169" s="32" t="n">
        <v>0</v>
      </c>
      <c r="AA169" s="32" t="n">
        <v>1</v>
      </c>
      <c r="AB169" s="32" t="n">
        <v>0</v>
      </c>
      <c r="AC169" s="30" t="s">
        <v>270</v>
      </c>
      <c r="AD169" s="37" t="n">
        <f aca="false">B169-B168</f>
        <v>0.125</v>
      </c>
    </row>
    <row r="170" customFormat="false" ht="15" hidden="false" customHeight="false" outlineLevel="0" collapsed="false">
      <c r="A170" s="33" t="n">
        <v>167</v>
      </c>
      <c r="B170" s="34" t="n">
        <f aca="false">Summary!$B$5+IF(D170=1,0,IF(C170=1,Summary!$B$6,NA()))+(MATCH(1,E170:L170,0)-1)*Summary!$B$7+(MATCH(1,M170:T170,0)-1)*Summary!$B$8+(MATCH(1,U170:AB170,0)-1)*Summary!$B$9</f>
        <v>50.875</v>
      </c>
      <c r="C170" s="35" t="n">
        <v>0</v>
      </c>
      <c r="D170" s="35" t="n">
        <v>1</v>
      </c>
      <c r="E170" s="35" t="n">
        <v>0</v>
      </c>
      <c r="F170" s="35" t="n">
        <v>0</v>
      </c>
      <c r="G170" s="35" t="n">
        <v>1</v>
      </c>
      <c r="H170" s="35" t="n">
        <v>0</v>
      </c>
      <c r="I170" s="35" t="n">
        <v>0</v>
      </c>
      <c r="J170" s="35" t="n">
        <v>0</v>
      </c>
      <c r="K170" s="35" t="n">
        <v>0</v>
      </c>
      <c r="L170" s="35" t="n">
        <v>0</v>
      </c>
      <c r="M170" s="35" t="n">
        <v>0</v>
      </c>
      <c r="N170" s="35" t="n">
        <v>0</v>
      </c>
      <c r="O170" s="35" t="n">
        <v>0</v>
      </c>
      <c r="P170" s="35" t="n">
        <v>0</v>
      </c>
      <c r="Q170" s="35" t="n">
        <v>1</v>
      </c>
      <c r="R170" s="35" t="n">
        <v>0</v>
      </c>
      <c r="S170" s="35" t="n">
        <v>0</v>
      </c>
      <c r="T170" s="35" t="n">
        <v>0</v>
      </c>
      <c r="U170" s="35" t="n">
        <v>0</v>
      </c>
      <c r="V170" s="35" t="n">
        <v>0</v>
      </c>
      <c r="W170" s="35" t="n">
        <v>0</v>
      </c>
      <c r="X170" s="35" t="n">
        <v>0</v>
      </c>
      <c r="Y170" s="35" t="n">
        <v>0</v>
      </c>
      <c r="Z170" s="35" t="n">
        <v>0</v>
      </c>
      <c r="AA170" s="35" t="n">
        <v>0</v>
      </c>
      <c r="AB170" s="35" t="n">
        <v>1</v>
      </c>
      <c r="AC170" s="33" t="s">
        <v>271</v>
      </c>
      <c r="AD170" s="36" t="n">
        <f aca="false">B170-B169</f>
        <v>0.125</v>
      </c>
    </row>
    <row r="171" customFormat="false" ht="15" hidden="false" customHeight="false" outlineLevel="0" collapsed="false">
      <c r="A171" s="30" t="n">
        <v>168</v>
      </c>
      <c r="B171" s="31" t="n">
        <f aca="false">Summary!$B$5+IF(D171=1,0,IF(C171=1,Summary!$B$6,NA()))+(MATCH(1,E171:L171,0)-1)*Summary!$B$7+(MATCH(1,M171:T171,0)-1)*Summary!$B$8+(MATCH(1,U171:AB171,0)-1)*Summary!$B$9</f>
        <v>51</v>
      </c>
      <c r="C171" s="32" t="n">
        <v>0</v>
      </c>
      <c r="D171" s="32" t="n">
        <v>1</v>
      </c>
      <c r="E171" s="32" t="n">
        <v>0</v>
      </c>
      <c r="F171" s="32" t="n">
        <v>0</v>
      </c>
      <c r="G171" s="32" t="n">
        <v>1</v>
      </c>
      <c r="H171" s="32" t="n">
        <v>0</v>
      </c>
      <c r="I171" s="32" t="n">
        <v>0</v>
      </c>
      <c r="J171" s="32" t="n">
        <v>0</v>
      </c>
      <c r="K171" s="32" t="n">
        <v>0</v>
      </c>
      <c r="L171" s="32" t="n">
        <v>0</v>
      </c>
      <c r="M171" s="32" t="n">
        <v>0</v>
      </c>
      <c r="N171" s="32" t="n">
        <v>0</v>
      </c>
      <c r="O171" s="32" t="n">
        <v>0</v>
      </c>
      <c r="P171" s="32" t="n">
        <v>0</v>
      </c>
      <c r="Q171" s="32" t="n">
        <v>0</v>
      </c>
      <c r="R171" s="32" t="n">
        <v>1</v>
      </c>
      <c r="S171" s="32" t="n">
        <v>0</v>
      </c>
      <c r="T171" s="32" t="n">
        <v>0</v>
      </c>
      <c r="U171" s="32" t="n">
        <v>1</v>
      </c>
      <c r="V171" s="32" t="n">
        <v>0</v>
      </c>
      <c r="W171" s="32" t="n">
        <v>0</v>
      </c>
      <c r="X171" s="32" t="n">
        <v>0</v>
      </c>
      <c r="Y171" s="32" t="n">
        <v>0</v>
      </c>
      <c r="Z171" s="32" t="n">
        <v>0</v>
      </c>
      <c r="AA171" s="32" t="n">
        <v>0</v>
      </c>
      <c r="AB171" s="32" t="n">
        <v>0</v>
      </c>
      <c r="AC171" s="30" t="s">
        <v>272</v>
      </c>
      <c r="AD171" s="37" t="n">
        <f aca="false">B171-B170</f>
        <v>0.125</v>
      </c>
    </row>
    <row r="172" customFormat="false" ht="15" hidden="false" customHeight="false" outlineLevel="0" collapsed="false">
      <c r="A172" s="33" t="n">
        <v>169</v>
      </c>
      <c r="B172" s="34" t="n">
        <f aca="false">Summary!$B$5+IF(D172=1,0,IF(C172=1,Summary!$B$6,NA()))+(MATCH(1,E172:L172,0)-1)*Summary!$B$7+(MATCH(1,M172:T172,0)-1)*Summary!$B$8+(MATCH(1,U172:AB172,0)-1)*Summary!$B$9</f>
        <v>51.125</v>
      </c>
      <c r="C172" s="35" t="n">
        <v>0</v>
      </c>
      <c r="D172" s="35" t="n">
        <v>1</v>
      </c>
      <c r="E172" s="35" t="n">
        <v>0</v>
      </c>
      <c r="F172" s="35" t="n">
        <v>0</v>
      </c>
      <c r="G172" s="35" t="n">
        <v>1</v>
      </c>
      <c r="H172" s="35" t="n">
        <v>0</v>
      </c>
      <c r="I172" s="35" t="n">
        <v>0</v>
      </c>
      <c r="J172" s="35" t="n">
        <v>0</v>
      </c>
      <c r="K172" s="35" t="n">
        <v>0</v>
      </c>
      <c r="L172" s="35" t="n">
        <v>0</v>
      </c>
      <c r="M172" s="35" t="n">
        <v>0</v>
      </c>
      <c r="N172" s="35" t="n">
        <v>0</v>
      </c>
      <c r="O172" s="35" t="n">
        <v>0</v>
      </c>
      <c r="P172" s="35" t="n">
        <v>0</v>
      </c>
      <c r="Q172" s="35" t="n">
        <v>0</v>
      </c>
      <c r="R172" s="35" t="n">
        <v>1</v>
      </c>
      <c r="S172" s="35" t="n">
        <v>0</v>
      </c>
      <c r="T172" s="35" t="n">
        <v>0</v>
      </c>
      <c r="U172" s="35" t="n">
        <v>0</v>
      </c>
      <c r="V172" s="35" t="n">
        <v>1</v>
      </c>
      <c r="W172" s="35" t="n">
        <v>0</v>
      </c>
      <c r="X172" s="35" t="n">
        <v>0</v>
      </c>
      <c r="Y172" s="35" t="n">
        <v>0</v>
      </c>
      <c r="Z172" s="35" t="n">
        <v>0</v>
      </c>
      <c r="AA172" s="35" t="n">
        <v>0</v>
      </c>
      <c r="AB172" s="35" t="n">
        <v>0</v>
      </c>
      <c r="AC172" s="33" t="s">
        <v>273</v>
      </c>
      <c r="AD172" s="36" t="n">
        <f aca="false">B172-B171</f>
        <v>0.125</v>
      </c>
    </row>
    <row r="173" customFormat="false" ht="15" hidden="false" customHeight="false" outlineLevel="0" collapsed="false">
      <c r="A173" s="30" t="n">
        <v>170</v>
      </c>
      <c r="B173" s="31" t="n">
        <f aca="false">Summary!$B$5+IF(D173=1,0,IF(C173=1,Summary!$B$6,NA()))+(MATCH(1,E173:L173,0)-1)*Summary!$B$7+(MATCH(1,M173:T173,0)-1)*Summary!$B$8+(MATCH(1,U173:AB173,0)-1)*Summary!$B$9</f>
        <v>51.25</v>
      </c>
      <c r="C173" s="32" t="n">
        <v>0</v>
      </c>
      <c r="D173" s="32" t="n">
        <v>1</v>
      </c>
      <c r="E173" s="32" t="n">
        <v>0</v>
      </c>
      <c r="F173" s="32" t="n">
        <v>0</v>
      </c>
      <c r="G173" s="32" t="n">
        <v>1</v>
      </c>
      <c r="H173" s="32" t="n">
        <v>0</v>
      </c>
      <c r="I173" s="32" t="n">
        <v>0</v>
      </c>
      <c r="J173" s="32" t="n">
        <v>0</v>
      </c>
      <c r="K173" s="32" t="n">
        <v>0</v>
      </c>
      <c r="L173" s="32" t="n">
        <v>0</v>
      </c>
      <c r="M173" s="32" t="n">
        <v>0</v>
      </c>
      <c r="N173" s="32" t="n">
        <v>0</v>
      </c>
      <c r="O173" s="32" t="n">
        <v>0</v>
      </c>
      <c r="P173" s="32" t="n">
        <v>0</v>
      </c>
      <c r="Q173" s="32" t="n">
        <v>0</v>
      </c>
      <c r="R173" s="32" t="n">
        <v>1</v>
      </c>
      <c r="S173" s="32" t="n">
        <v>0</v>
      </c>
      <c r="T173" s="32" t="n">
        <v>0</v>
      </c>
      <c r="U173" s="32" t="n">
        <v>0</v>
      </c>
      <c r="V173" s="32" t="n">
        <v>0</v>
      </c>
      <c r="W173" s="32" t="n">
        <v>1</v>
      </c>
      <c r="X173" s="32" t="n">
        <v>0</v>
      </c>
      <c r="Y173" s="32" t="n">
        <v>0</v>
      </c>
      <c r="Z173" s="32" t="n">
        <v>0</v>
      </c>
      <c r="AA173" s="32" t="n">
        <v>0</v>
      </c>
      <c r="AB173" s="32" t="n">
        <v>0</v>
      </c>
      <c r="AC173" s="30" t="s">
        <v>274</v>
      </c>
      <c r="AD173" s="37" t="n">
        <f aca="false">B173-B172</f>
        <v>0.125</v>
      </c>
    </row>
    <row r="174" customFormat="false" ht="15" hidden="false" customHeight="false" outlineLevel="0" collapsed="false">
      <c r="A174" s="33" t="n">
        <v>171</v>
      </c>
      <c r="B174" s="34" t="n">
        <f aca="false">Summary!$B$5+IF(D174=1,0,IF(C174=1,Summary!$B$6,NA()))+(MATCH(1,E174:L174,0)-1)*Summary!$B$7+(MATCH(1,M174:T174,0)-1)*Summary!$B$8+(MATCH(1,U174:AB174,0)-1)*Summary!$B$9</f>
        <v>51.375</v>
      </c>
      <c r="C174" s="35" t="n">
        <v>0</v>
      </c>
      <c r="D174" s="35" t="n">
        <v>1</v>
      </c>
      <c r="E174" s="35" t="n">
        <v>0</v>
      </c>
      <c r="F174" s="35" t="n">
        <v>0</v>
      </c>
      <c r="G174" s="35" t="n">
        <v>1</v>
      </c>
      <c r="H174" s="35" t="n">
        <v>0</v>
      </c>
      <c r="I174" s="35" t="n">
        <v>0</v>
      </c>
      <c r="J174" s="35" t="n">
        <v>0</v>
      </c>
      <c r="K174" s="35" t="n">
        <v>0</v>
      </c>
      <c r="L174" s="35" t="n">
        <v>0</v>
      </c>
      <c r="M174" s="35" t="n">
        <v>0</v>
      </c>
      <c r="N174" s="35" t="n">
        <v>0</v>
      </c>
      <c r="O174" s="35" t="n">
        <v>0</v>
      </c>
      <c r="P174" s="35" t="n">
        <v>0</v>
      </c>
      <c r="Q174" s="35" t="n">
        <v>0</v>
      </c>
      <c r="R174" s="35" t="n">
        <v>1</v>
      </c>
      <c r="S174" s="35" t="n">
        <v>0</v>
      </c>
      <c r="T174" s="35" t="n">
        <v>0</v>
      </c>
      <c r="U174" s="35" t="n">
        <v>0</v>
      </c>
      <c r="V174" s="35" t="n">
        <v>0</v>
      </c>
      <c r="W174" s="35" t="n">
        <v>0</v>
      </c>
      <c r="X174" s="35" t="n">
        <v>1</v>
      </c>
      <c r="Y174" s="35" t="n">
        <v>0</v>
      </c>
      <c r="Z174" s="35" t="n">
        <v>0</v>
      </c>
      <c r="AA174" s="35" t="n">
        <v>0</v>
      </c>
      <c r="AB174" s="35" t="n">
        <v>0</v>
      </c>
      <c r="AC174" s="33" t="s">
        <v>275</v>
      </c>
      <c r="AD174" s="36" t="n">
        <f aca="false">B174-B173</f>
        <v>0.125</v>
      </c>
    </row>
    <row r="175" customFormat="false" ht="15" hidden="false" customHeight="false" outlineLevel="0" collapsed="false">
      <c r="A175" s="30" t="n">
        <v>172</v>
      </c>
      <c r="B175" s="31" t="n">
        <f aca="false">Summary!$B$5+IF(D175=1,0,IF(C175=1,Summary!$B$6,NA()))+(MATCH(1,E175:L175,0)-1)*Summary!$B$7+(MATCH(1,M175:T175,0)-1)*Summary!$B$8+(MATCH(1,U175:AB175,0)-1)*Summary!$B$9</f>
        <v>51.5</v>
      </c>
      <c r="C175" s="32" t="n">
        <v>0</v>
      </c>
      <c r="D175" s="32" t="n">
        <v>1</v>
      </c>
      <c r="E175" s="32" t="n">
        <v>0</v>
      </c>
      <c r="F175" s="32" t="n">
        <v>0</v>
      </c>
      <c r="G175" s="32" t="n">
        <v>1</v>
      </c>
      <c r="H175" s="32" t="n">
        <v>0</v>
      </c>
      <c r="I175" s="32" t="n">
        <v>0</v>
      </c>
      <c r="J175" s="32" t="n">
        <v>0</v>
      </c>
      <c r="K175" s="32" t="n">
        <v>0</v>
      </c>
      <c r="L175" s="32" t="n">
        <v>0</v>
      </c>
      <c r="M175" s="32" t="n">
        <v>0</v>
      </c>
      <c r="N175" s="32" t="n">
        <v>0</v>
      </c>
      <c r="O175" s="32" t="n">
        <v>0</v>
      </c>
      <c r="P175" s="32" t="n">
        <v>0</v>
      </c>
      <c r="Q175" s="32" t="n">
        <v>0</v>
      </c>
      <c r="R175" s="32" t="n">
        <v>1</v>
      </c>
      <c r="S175" s="32" t="n">
        <v>0</v>
      </c>
      <c r="T175" s="32" t="n">
        <v>0</v>
      </c>
      <c r="U175" s="32" t="n">
        <v>0</v>
      </c>
      <c r="V175" s="32" t="n">
        <v>0</v>
      </c>
      <c r="W175" s="32" t="n">
        <v>0</v>
      </c>
      <c r="X175" s="32" t="n">
        <v>0</v>
      </c>
      <c r="Y175" s="32" t="n">
        <v>1</v>
      </c>
      <c r="Z175" s="32" t="n">
        <v>0</v>
      </c>
      <c r="AA175" s="32" t="n">
        <v>0</v>
      </c>
      <c r="AB175" s="32" t="n">
        <v>0</v>
      </c>
      <c r="AC175" s="30" t="s">
        <v>276</v>
      </c>
      <c r="AD175" s="37" t="n">
        <f aca="false">B175-B174</f>
        <v>0.125</v>
      </c>
    </row>
    <row r="176" customFormat="false" ht="15" hidden="false" customHeight="false" outlineLevel="0" collapsed="false">
      <c r="A176" s="33" t="n">
        <v>173</v>
      </c>
      <c r="B176" s="34" t="n">
        <f aca="false">Summary!$B$5+IF(D176=1,0,IF(C176=1,Summary!$B$6,NA()))+(MATCH(1,E176:L176,0)-1)*Summary!$B$7+(MATCH(1,M176:T176,0)-1)*Summary!$B$8+(MATCH(1,U176:AB176,0)-1)*Summary!$B$9</f>
        <v>51.625</v>
      </c>
      <c r="C176" s="35" t="n">
        <v>0</v>
      </c>
      <c r="D176" s="35" t="n">
        <v>1</v>
      </c>
      <c r="E176" s="35" t="n">
        <v>0</v>
      </c>
      <c r="F176" s="35" t="n">
        <v>0</v>
      </c>
      <c r="G176" s="35" t="n">
        <v>1</v>
      </c>
      <c r="H176" s="35" t="n">
        <v>0</v>
      </c>
      <c r="I176" s="35" t="n">
        <v>0</v>
      </c>
      <c r="J176" s="35" t="n">
        <v>0</v>
      </c>
      <c r="K176" s="35" t="n">
        <v>0</v>
      </c>
      <c r="L176" s="35" t="n">
        <v>0</v>
      </c>
      <c r="M176" s="35" t="n">
        <v>0</v>
      </c>
      <c r="N176" s="35" t="n">
        <v>0</v>
      </c>
      <c r="O176" s="35" t="n">
        <v>0</v>
      </c>
      <c r="P176" s="35" t="n">
        <v>0</v>
      </c>
      <c r="Q176" s="35" t="n">
        <v>0</v>
      </c>
      <c r="R176" s="35" t="n">
        <v>1</v>
      </c>
      <c r="S176" s="35" t="n">
        <v>0</v>
      </c>
      <c r="T176" s="35" t="n">
        <v>0</v>
      </c>
      <c r="U176" s="35" t="n">
        <v>0</v>
      </c>
      <c r="V176" s="35" t="n">
        <v>0</v>
      </c>
      <c r="W176" s="35" t="n">
        <v>0</v>
      </c>
      <c r="X176" s="35" t="n">
        <v>0</v>
      </c>
      <c r="Y176" s="35" t="n">
        <v>0</v>
      </c>
      <c r="Z176" s="35" t="n">
        <v>1</v>
      </c>
      <c r="AA176" s="35" t="n">
        <v>0</v>
      </c>
      <c r="AB176" s="35" t="n">
        <v>0</v>
      </c>
      <c r="AC176" s="33" t="s">
        <v>277</v>
      </c>
      <c r="AD176" s="36" t="n">
        <f aca="false">B176-B175</f>
        <v>0.125</v>
      </c>
    </row>
    <row r="177" customFormat="false" ht="15" hidden="false" customHeight="false" outlineLevel="0" collapsed="false">
      <c r="A177" s="30" t="n">
        <v>174</v>
      </c>
      <c r="B177" s="31" t="n">
        <f aca="false">Summary!$B$5+IF(D177=1,0,IF(C177=1,Summary!$B$6,NA()))+(MATCH(1,E177:L177,0)-1)*Summary!$B$7+(MATCH(1,M177:T177,0)-1)*Summary!$B$8+(MATCH(1,U177:AB177,0)-1)*Summary!$B$9</f>
        <v>51.75</v>
      </c>
      <c r="C177" s="32" t="n">
        <v>0</v>
      </c>
      <c r="D177" s="32" t="n">
        <v>1</v>
      </c>
      <c r="E177" s="32" t="n">
        <v>0</v>
      </c>
      <c r="F177" s="32" t="n">
        <v>0</v>
      </c>
      <c r="G177" s="32" t="n">
        <v>1</v>
      </c>
      <c r="H177" s="32" t="n">
        <v>0</v>
      </c>
      <c r="I177" s="32" t="n">
        <v>0</v>
      </c>
      <c r="J177" s="32" t="n">
        <v>0</v>
      </c>
      <c r="K177" s="32" t="n">
        <v>0</v>
      </c>
      <c r="L177" s="32" t="n">
        <v>0</v>
      </c>
      <c r="M177" s="32" t="n">
        <v>0</v>
      </c>
      <c r="N177" s="32" t="n">
        <v>0</v>
      </c>
      <c r="O177" s="32" t="n">
        <v>0</v>
      </c>
      <c r="P177" s="32" t="n">
        <v>0</v>
      </c>
      <c r="Q177" s="32" t="n">
        <v>0</v>
      </c>
      <c r="R177" s="32" t="n">
        <v>1</v>
      </c>
      <c r="S177" s="32" t="n">
        <v>0</v>
      </c>
      <c r="T177" s="32" t="n">
        <v>0</v>
      </c>
      <c r="U177" s="32" t="n">
        <v>0</v>
      </c>
      <c r="V177" s="32" t="n">
        <v>0</v>
      </c>
      <c r="W177" s="32" t="n">
        <v>0</v>
      </c>
      <c r="X177" s="32" t="n">
        <v>0</v>
      </c>
      <c r="Y177" s="32" t="n">
        <v>0</v>
      </c>
      <c r="Z177" s="32" t="n">
        <v>0</v>
      </c>
      <c r="AA177" s="32" t="n">
        <v>1</v>
      </c>
      <c r="AB177" s="32" t="n">
        <v>0</v>
      </c>
      <c r="AC177" s="30" t="s">
        <v>278</v>
      </c>
      <c r="AD177" s="37" t="n">
        <f aca="false">B177-B176</f>
        <v>0.125</v>
      </c>
    </row>
    <row r="178" customFormat="false" ht="15" hidden="false" customHeight="false" outlineLevel="0" collapsed="false">
      <c r="A178" s="33" t="n">
        <v>175</v>
      </c>
      <c r="B178" s="34" t="n">
        <f aca="false">Summary!$B$5+IF(D178=1,0,IF(C178=1,Summary!$B$6,NA()))+(MATCH(1,E178:L178,0)-1)*Summary!$B$7+(MATCH(1,M178:T178,0)-1)*Summary!$B$8+(MATCH(1,U178:AB178,0)-1)*Summary!$B$9</f>
        <v>51.875</v>
      </c>
      <c r="C178" s="35" t="n">
        <v>0</v>
      </c>
      <c r="D178" s="35" t="n">
        <v>1</v>
      </c>
      <c r="E178" s="35" t="n">
        <v>0</v>
      </c>
      <c r="F178" s="35" t="n">
        <v>0</v>
      </c>
      <c r="G178" s="35" t="n">
        <v>1</v>
      </c>
      <c r="H178" s="35" t="n">
        <v>0</v>
      </c>
      <c r="I178" s="35" t="n">
        <v>0</v>
      </c>
      <c r="J178" s="35" t="n">
        <v>0</v>
      </c>
      <c r="K178" s="35" t="n">
        <v>0</v>
      </c>
      <c r="L178" s="35" t="n">
        <v>0</v>
      </c>
      <c r="M178" s="35" t="n">
        <v>0</v>
      </c>
      <c r="N178" s="35" t="n">
        <v>0</v>
      </c>
      <c r="O178" s="35" t="n">
        <v>0</v>
      </c>
      <c r="P178" s="35" t="n">
        <v>0</v>
      </c>
      <c r="Q178" s="35" t="n">
        <v>0</v>
      </c>
      <c r="R178" s="35" t="n">
        <v>1</v>
      </c>
      <c r="S178" s="35" t="n">
        <v>0</v>
      </c>
      <c r="T178" s="35" t="n">
        <v>0</v>
      </c>
      <c r="U178" s="35" t="n">
        <v>0</v>
      </c>
      <c r="V178" s="35" t="n">
        <v>0</v>
      </c>
      <c r="W178" s="35" t="n">
        <v>0</v>
      </c>
      <c r="X178" s="35" t="n">
        <v>0</v>
      </c>
      <c r="Y178" s="35" t="n">
        <v>0</v>
      </c>
      <c r="Z178" s="35" t="n">
        <v>0</v>
      </c>
      <c r="AA178" s="35" t="n">
        <v>0</v>
      </c>
      <c r="AB178" s="35" t="n">
        <v>1</v>
      </c>
      <c r="AC178" s="33" t="s">
        <v>279</v>
      </c>
      <c r="AD178" s="36" t="n">
        <f aca="false">B178-B177</f>
        <v>0.125</v>
      </c>
    </row>
    <row r="179" customFormat="false" ht="15" hidden="false" customHeight="false" outlineLevel="0" collapsed="false">
      <c r="A179" s="30" t="n">
        <v>176</v>
      </c>
      <c r="B179" s="31" t="n">
        <f aca="false">Summary!$B$5+IF(D179=1,0,IF(C179=1,Summary!$B$6,NA()))+(MATCH(1,E179:L179,0)-1)*Summary!$B$7+(MATCH(1,M179:T179,0)-1)*Summary!$B$8+(MATCH(1,U179:AB179,0)-1)*Summary!$B$9</f>
        <v>52</v>
      </c>
      <c r="C179" s="32" t="n">
        <v>0</v>
      </c>
      <c r="D179" s="32" t="n">
        <v>1</v>
      </c>
      <c r="E179" s="32" t="n">
        <v>0</v>
      </c>
      <c r="F179" s="32" t="n">
        <v>0</v>
      </c>
      <c r="G179" s="32" t="n">
        <v>1</v>
      </c>
      <c r="H179" s="32" t="n">
        <v>0</v>
      </c>
      <c r="I179" s="32" t="n">
        <v>0</v>
      </c>
      <c r="J179" s="32" t="n">
        <v>0</v>
      </c>
      <c r="K179" s="32" t="n">
        <v>0</v>
      </c>
      <c r="L179" s="32" t="n">
        <v>0</v>
      </c>
      <c r="M179" s="32" t="n">
        <v>0</v>
      </c>
      <c r="N179" s="32" t="n">
        <v>0</v>
      </c>
      <c r="O179" s="32" t="n">
        <v>0</v>
      </c>
      <c r="P179" s="32" t="n">
        <v>0</v>
      </c>
      <c r="Q179" s="32" t="n">
        <v>0</v>
      </c>
      <c r="R179" s="32" t="n">
        <v>0</v>
      </c>
      <c r="S179" s="32" t="n">
        <v>1</v>
      </c>
      <c r="T179" s="32" t="n">
        <v>0</v>
      </c>
      <c r="U179" s="32" t="n">
        <v>1</v>
      </c>
      <c r="V179" s="32" t="n">
        <v>0</v>
      </c>
      <c r="W179" s="32" t="n">
        <v>0</v>
      </c>
      <c r="X179" s="32" t="n">
        <v>0</v>
      </c>
      <c r="Y179" s="32" t="n">
        <v>0</v>
      </c>
      <c r="Z179" s="32" t="n">
        <v>0</v>
      </c>
      <c r="AA179" s="32" t="n">
        <v>0</v>
      </c>
      <c r="AB179" s="32" t="n">
        <v>0</v>
      </c>
      <c r="AC179" s="30" t="s">
        <v>280</v>
      </c>
      <c r="AD179" s="37" t="n">
        <f aca="false">B179-B178</f>
        <v>0.125</v>
      </c>
    </row>
    <row r="180" customFormat="false" ht="15" hidden="false" customHeight="false" outlineLevel="0" collapsed="false">
      <c r="A180" s="33" t="n">
        <v>177</v>
      </c>
      <c r="B180" s="34" t="n">
        <f aca="false">Summary!$B$5+IF(D180=1,0,IF(C180=1,Summary!$B$6,NA()))+(MATCH(1,E180:L180,0)-1)*Summary!$B$7+(MATCH(1,M180:T180,0)-1)*Summary!$B$8+(MATCH(1,U180:AB180,0)-1)*Summary!$B$9</f>
        <v>52.125</v>
      </c>
      <c r="C180" s="35" t="n">
        <v>0</v>
      </c>
      <c r="D180" s="35" t="n">
        <v>1</v>
      </c>
      <c r="E180" s="35" t="n">
        <v>0</v>
      </c>
      <c r="F180" s="35" t="n">
        <v>0</v>
      </c>
      <c r="G180" s="35" t="n">
        <v>1</v>
      </c>
      <c r="H180" s="35" t="n">
        <v>0</v>
      </c>
      <c r="I180" s="35" t="n">
        <v>0</v>
      </c>
      <c r="J180" s="35" t="n">
        <v>0</v>
      </c>
      <c r="K180" s="35" t="n">
        <v>0</v>
      </c>
      <c r="L180" s="35" t="n">
        <v>0</v>
      </c>
      <c r="M180" s="35" t="n">
        <v>0</v>
      </c>
      <c r="N180" s="35" t="n">
        <v>0</v>
      </c>
      <c r="O180" s="35" t="n">
        <v>0</v>
      </c>
      <c r="P180" s="35" t="n">
        <v>0</v>
      </c>
      <c r="Q180" s="35" t="n">
        <v>0</v>
      </c>
      <c r="R180" s="35" t="n">
        <v>0</v>
      </c>
      <c r="S180" s="35" t="n">
        <v>1</v>
      </c>
      <c r="T180" s="35" t="n">
        <v>0</v>
      </c>
      <c r="U180" s="35" t="n">
        <v>0</v>
      </c>
      <c r="V180" s="35" t="n">
        <v>1</v>
      </c>
      <c r="W180" s="35" t="n">
        <v>0</v>
      </c>
      <c r="X180" s="35" t="n">
        <v>0</v>
      </c>
      <c r="Y180" s="35" t="n">
        <v>0</v>
      </c>
      <c r="Z180" s="35" t="n">
        <v>0</v>
      </c>
      <c r="AA180" s="35" t="n">
        <v>0</v>
      </c>
      <c r="AB180" s="35" t="n">
        <v>0</v>
      </c>
      <c r="AC180" s="33" t="s">
        <v>281</v>
      </c>
      <c r="AD180" s="36" t="n">
        <f aca="false">B180-B179</f>
        <v>0.125</v>
      </c>
    </row>
    <row r="181" customFormat="false" ht="15" hidden="false" customHeight="false" outlineLevel="0" collapsed="false">
      <c r="A181" s="30" t="n">
        <v>178</v>
      </c>
      <c r="B181" s="31" t="n">
        <f aca="false">Summary!$B$5+IF(D181=1,0,IF(C181=1,Summary!$B$6,NA()))+(MATCH(1,E181:L181,0)-1)*Summary!$B$7+(MATCH(1,M181:T181,0)-1)*Summary!$B$8+(MATCH(1,U181:AB181,0)-1)*Summary!$B$9</f>
        <v>52.25</v>
      </c>
      <c r="C181" s="32" t="n">
        <v>0</v>
      </c>
      <c r="D181" s="32" t="n">
        <v>1</v>
      </c>
      <c r="E181" s="32" t="n">
        <v>0</v>
      </c>
      <c r="F181" s="32" t="n">
        <v>0</v>
      </c>
      <c r="G181" s="32" t="n">
        <v>1</v>
      </c>
      <c r="H181" s="32" t="n">
        <v>0</v>
      </c>
      <c r="I181" s="32" t="n">
        <v>0</v>
      </c>
      <c r="J181" s="32" t="n">
        <v>0</v>
      </c>
      <c r="K181" s="32" t="n">
        <v>0</v>
      </c>
      <c r="L181" s="32" t="n">
        <v>0</v>
      </c>
      <c r="M181" s="32" t="n">
        <v>0</v>
      </c>
      <c r="N181" s="32" t="n">
        <v>0</v>
      </c>
      <c r="O181" s="32" t="n">
        <v>0</v>
      </c>
      <c r="P181" s="32" t="n">
        <v>0</v>
      </c>
      <c r="Q181" s="32" t="n">
        <v>0</v>
      </c>
      <c r="R181" s="32" t="n">
        <v>0</v>
      </c>
      <c r="S181" s="32" t="n">
        <v>1</v>
      </c>
      <c r="T181" s="32" t="n">
        <v>0</v>
      </c>
      <c r="U181" s="32" t="n">
        <v>0</v>
      </c>
      <c r="V181" s="32" t="n">
        <v>0</v>
      </c>
      <c r="W181" s="32" t="n">
        <v>1</v>
      </c>
      <c r="X181" s="32" t="n">
        <v>0</v>
      </c>
      <c r="Y181" s="32" t="n">
        <v>0</v>
      </c>
      <c r="Z181" s="32" t="n">
        <v>0</v>
      </c>
      <c r="AA181" s="32" t="n">
        <v>0</v>
      </c>
      <c r="AB181" s="32" t="n">
        <v>0</v>
      </c>
      <c r="AC181" s="30" t="s">
        <v>282</v>
      </c>
      <c r="AD181" s="37" t="n">
        <f aca="false">B181-B180</f>
        <v>0.125</v>
      </c>
    </row>
    <row r="182" customFormat="false" ht="15" hidden="false" customHeight="false" outlineLevel="0" collapsed="false">
      <c r="A182" s="33" t="n">
        <v>179</v>
      </c>
      <c r="B182" s="34" t="n">
        <f aca="false">Summary!$B$5+IF(D182=1,0,IF(C182=1,Summary!$B$6,NA()))+(MATCH(1,E182:L182,0)-1)*Summary!$B$7+(MATCH(1,M182:T182,0)-1)*Summary!$B$8+(MATCH(1,U182:AB182,0)-1)*Summary!$B$9</f>
        <v>52.375</v>
      </c>
      <c r="C182" s="35" t="n">
        <v>0</v>
      </c>
      <c r="D182" s="35" t="n">
        <v>1</v>
      </c>
      <c r="E182" s="35" t="n">
        <v>0</v>
      </c>
      <c r="F182" s="35" t="n">
        <v>0</v>
      </c>
      <c r="G182" s="35" t="n">
        <v>1</v>
      </c>
      <c r="H182" s="35" t="n">
        <v>0</v>
      </c>
      <c r="I182" s="35" t="n">
        <v>0</v>
      </c>
      <c r="J182" s="35" t="n">
        <v>0</v>
      </c>
      <c r="K182" s="35" t="n">
        <v>0</v>
      </c>
      <c r="L182" s="35" t="n">
        <v>0</v>
      </c>
      <c r="M182" s="35" t="n">
        <v>0</v>
      </c>
      <c r="N182" s="35" t="n">
        <v>0</v>
      </c>
      <c r="O182" s="35" t="n">
        <v>0</v>
      </c>
      <c r="P182" s="35" t="n">
        <v>0</v>
      </c>
      <c r="Q182" s="35" t="n">
        <v>0</v>
      </c>
      <c r="R182" s="35" t="n">
        <v>0</v>
      </c>
      <c r="S182" s="35" t="n">
        <v>1</v>
      </c>
      <c r="T182" s="35" t="n">
        <v>0</v>
      </c>
      <c r="U182" s="35" t="n">
        <v>0</v>
      </c>
      <c r="V182" s="35" t="n">
        <v>0</v>
      </c>
      <c r="W182" s="35" t="n">
        <v>0</v>
      </c>
      <c r="X182" s="35" t="n">
        <v>1</v>
      </c>
      <c r="Y182" s="35" t="n">
        <v>0</v>
      </c>
      <c r="Z182" s="35" t="n">
        <v>0</v>
      </c>
      <c r="AA182" s="35" t="n">
        <v>0</v>
      </c>
      <c r="AB182" s="35" t="n">
        <v>0</v>
      </c>
      <c r="AC182" s="33" t="s">
        <v>283</v>
      </c>
      <c r="AD182" s="36" t="n">
        <f aca="false">B182-B181</f>
        <v>0.125</v>
      </c>
    </row>
    <row r="183" customFormat="false" ht="15" hidden="false" customHeight="false" outlineLevel="0" collapsed="false">
      <c r="A183" s="30" t="n">
        <v>180</v>
      </c>
      <c r="B183" s="31" t="n">
        <f aca="false">Summary!$B$5+IF(D183=1,0,IF(C183=1,Summary!$B$6,NA()))+(MATCH(1,E183:L183,0)-1)*Summary!$B$7+(MATCH(1,M183:T183,0)-1)*Summary!$B$8+(MATCH(1,U183:AB183,0)-1)*Summary!$B$9</f>
        <v>52.5</v>
      </c>
      <c r="C183" s="32" t="n">
        <v>0</v>
      </c>
      <c r="D183" s="32" t="n">
        <v>1</v>
      </c>
      <c r="E183" s="32" t="n">
        <v>0</v>
      </c>
      <c r="F183" s="32" t="n">
        <v>0</v>
      </c>
      <c r="G183" s="32" t="n">
        <v>1</v>
      </c>
      <c r="H183" s="32" t="n">
        <v>0</v>
      </c>
      <c r="I183" s="32" t="n">
        <v>0</v>
      </c>
      <c r="J183" s="32" t="n">
        <v>0</v>
      </c>
      <c r="K183" s="32" t="n">
        <v>0</v>
      </c>
      <c r="L183" s="32" t="n">
        <v>0</v>
      </c>
      <c r="M183" s="32" t="n">
        <v>0</v>
      </c>
      <c r="N183" s="32" t="n">
        <v>0</v>
      </c>
      <c r="O183" s="32" t="n">
        <v>0</v>
      </c>
      <c r="P183" s="32" t="n">
        <v>0</v>
      </c>
      <c r="Q183" s="32" t="n">
        <v>0</v>
      </c>
      <c r="R183" s="32" t="n">
        <v>0</v>
      </c>
      <c r="S183" s="32" t="n">
        <v>1</v>
      </c>
      <c r="T183" s="32" t="n">
        <v>0</v>
      </c>
      <c r="U183" s="32" t="n">
        <v>0</v>
      </c>
      <c r="V183" s="32" t="n">
        <v>0</v>
      </c>
      <c r="W183" s="32" t="n">
        <v>0</v>
      </c>
      <c r="X183" s="32" t="n">
        <v>0</v>
      </c>
      <c r="Y183" s="32" t="n">
        <v>1</v>
      </c>
      <c r="Z183" s="32" t="n">
        <v>0</v>
      </c>
      <c r="AA183" s="32" t="n">
        <v>0</v>
      </c>
      <c r="AB183" s="32" t="n">
        <v>0</v>
      </c>
      <c r="AC183" s="30" t="s">
        <v>284</v>
      </c>
      <c r="AD183" s="37" t="n">
        <f aca="false">B183-B182</f>
        <v>0.125</v>
      </c>
    </row>
    <row r="184" customFormat="false" ht="15" hidden="false" customHeight="false" outlineLevel="0" collapsed="false">
      <c r="A184" s="33" t="n">
        <v>181</v>
      </c>
      <c r="B184" s="34" t="n">
        <f aca="false">Summary!$B$5+IF(D184=1,0,IF(C184=1,Summary!$B$6,NA()))+(MATCH(1,E184:L184,0)-1)*Summary!$B$7+(MATCH(1,M184:T184,0)-1)*Summary!$B$8+(MATCH(1,U184:AB184,0)-1)*Summary!$B$9</f>
        <v>52.625</v>
      </c>
      <c r="C184" s="35" t="n">
        <v>0</v>
      </c>
      <c r="D184" s="35" t="n">
        <v>1</v>
      </c>
      <c r="E184" s="35" t="n">
        <v>0</v>
      </c>
      <c r="F184" s="35" t="n">
        <v>0</v>
      </c>
      <c r="G184" s="35" t="n">
        <v>1</v>
      </c>
      <c r="H184" s="35" t="n">
        <v>0</v>
      </c>
      <c r="I184" s="35" t="n">
        <v>0</v>
      </c>
      <c r="J184" s="35" t="n">
        <v>0</v>
      </c>
      <c r="K184" s="35" t="n">
        <v>0</v>
      </c>
      <c r="L184" s="35" t="n">
        <v>0</v>
      </c>
      <c r="M184" s="35" t="n">
        <v>0</v>
      </c>
      <c r="N184" s="35" t="n">
        <v>0</v>
      </c>
      <c r="O184" s="35" t="n">
        <v>0</v>
      </c>
      <c r="P184" s="35" t="n">
        <v>0</v>
      </c>
      <c r="Q184" s="35" t="n">
        <v>0</v>
      </c>
      <c r="R184" s="35" t="n">
        <v>0</v>
      </c>
      <c r="S184" s="35" t="n">
        <v>1</v>
      </c>
      <c r="T184" s="35" t="n">
        <v>0</v>
      </c>
      <c r="U184" s="35" t="n">
        <v>0</v>
      </c>
      <c r="V184" s="35" t="n">
        <v>0</v>
      </c>
      <c r="W184" s="35" t="n">
        <v>0</v>
      </c>
      <c r="X184" s="35" t="n">
        <v>0</v>
      </c>
      <c r="Y184" s="35" t="n">
        <v>0</v>
      </c>
      <c r="Z184" s="35" t="n">
        <v>1</v>
      </c>
      <c r="AA184" s="35" t="n">
        <v>0</v>
      </c>
      <c r="AB184" s="35" t="n">
        <v>0</v>
      </c>
      <c r="AC184" s="33" t="s">
        <v>285</v>
      </c>
      <c r="AD184" s="36" t="n">
        <f aca="false">B184-B183</f>
        <v>0.125</v>
      </c>
    </row>
    <row r="185" customFormat="false" ht="15" hidden="false" customHeight="false" outlineLevel="0" collapsed="false">
      <c r="A185" s="30" t="n">
        <v>182</v>
      </c>
      <c r="B185" s="31" t="n">
        <f aca="false">Summary!$B$5+IF(D185=1,0,IF(C185=1,Summary!$B$6,NA()))+(MATCH(1,E185:L185,0)-1)*Summary!$B$7+(MATCH(1,M185:T185,0)-1)*Summary!$B$8+(MATCH(1,U185:AB185,0)-1)*Summary!$B$9</f>
        <v>52.75</v>
      </c>
      <c r="C185" s="32" t="n">
        <v>0</v>
      </c>
      <c r="D185" s="32" t="n">
        <v>1</v>
      </c>
      <c r="E185" s="32" t="n">
        <v>0</v>
      </c>
      <c r="F185" s="32" t="n">
        <v>0</v>
      </c>
      <c r="G185" s="32" t="n">
        <v>1</v>
      </c>
      <c r="H185" s="32" t="n">
        <v>0</v>
      </c>
      <c r="I185" s="32" t="n">
        <v>0</v>
      </c>
      <c r="J185" s="32" t="n">
        <v>0</v>
      </c>
      <c r="K185" s="32" t="n">
        <v>0</v>
      </c>
      <c r="L185" s="32" t="n">
        <v>0</v>
      </c>
      <c r="M185" s="32" t="n">
        <v>0</v>
      </c>
      <c r="N185" s="32" t="n">
        <v>0</v>
      </c>
      <c r="O185" s="32" t="n">
        <v>0</v>
      </c>
      <c r="P185" s="32" t="n">
        <v>0</v>
      </c>
      <c r="Q185" s="32" t="n">
        <v>0</v>
      </c>
      <c r="R185" s="32" t="n">
        <v>0</v>
      </c>
      <c r="S185" s="32" t="n">
        <v>1</v>
      </c>
      <c r="T185" s="32" t="n">
        <v>0</v>
      </c>
      <c r="U185" s="32" t="n">
        <v>0</v>
      </c>
      <c r="V185" s="32" t="n">
        <v>0</v>
      </c>
      <c r="W185" s="32" t="n">
        <v>0</v>
      </c>
      <c r="X185" s="32" t="n">
        <v>0</v>
      </c>
      <c r="Y185" s="32" t="n">
        <v>0</v>
      </c>
      <c r="Z185" s="32" t="n">
        <v>0</v>
      </c>
      <c r="AA185" s="32" t="n">
        <v>1</v>
      </c>
      <c r="AB185" s="32" t="n">
        <v>0</v>
      </c>
      <c r="AC185" s="30" t="s">
        <v>286</v>
      </c>
      <c r="AD185" s="37" t="n">
        <f aca="false">B185-B184</f>
        <v>0.125</v>
      </c>
    </row>
    <row r="186" customFormat="false" ht="15" hidden="false" customHeight="false" outlineLevel="0" collapsed="false">
      <c r="A186" s="33" t="n">
        <v>183</v>
      </c>
      <c r="B186" s="34" t="n">
        <f aca="false">Summary!$B$5+IF(D186=1,0,IF(C186=1,Summary!$B$6,NA()))+(MATCH(1,E186:L186,0)-1)*Summary!$B$7+(MATCH(1,M186:T186,0)-1)*Summary!$B$8+(MATCH(1,U186:AB186,0)-1)*Summary!$B$9</f>
        <v>52.875</v>
      </c>
      <c r="C186" s="35" t="n">
        <v>0</v>
      </c>
      <c r="D186" s="35" t="n">
        <v>1</v>
      </c>
      <c r="E186" s="35" t="n">
        <v>0</v>
      </c>
      <c r="F186" s="35" t="n">
        <v>0</v>
      </c>
      <c r="G186" s="35" t="n">
        <v>1</v>
      </c>
      <c r="H186" s="35" t="n">
        <v>0</v>
      </c>
      <c r="I186" s="35" t="n">
        <v>0</v>
      </c>
      <c r="J186" s="35" t="n">
        <v>0</v>
      </c>
      <c r="K186" s="35" t="n">
        <v>0</v>
      </c>
      <c r="L186" s="35" t="n">
        <v>0</v>
      </c>
      <c r="M186" s="35" t="n">
        <v>0</v>
      </c>
      <c r="N186" s="35" t="n">
        <v>0</v>
      </c>
      <c r="O186" s="35" t="n">
        <v>0</v>
      </c>
      <c r="P186" s="35" t="n">
        <v>0</v>
      </c>
      <c r="Q186" s="35" t="n">
        <v>0</v>
      </c>
      <c r="R186" s="35" t="n">
        <v>0</v>
      </c>
      <c r="S186" s="35" t="n">
        <v>1</v>
      </c>
      <c r="T186" s="35" t="n">
        <v>0</v>
      </c>
      <c r="U186" s="35" t="n">
        <v>0</v>
      </c>
      <c r="V186" s="35" t="n">
        <v>0</v>
      </c>
      <c r="W186" s="35" t="n">
        <v>0</v>
      </c>
      <c r="X186" s="35" t="n">
        <v>0</v>
      </c>
      <c r="Y186" s="35" t="n">
        <v>0</v>
      </c>
      <c r="Z186" s="35" t="n">
        <v>0</v>
      </c>
      <c r="AA186" s="35" t="n">
        <v>0</v>
      </c>
      <c r="AB186" s="35" t="n">
        <v>1</v>
      </c>
      <c r="AC186" s="33" t="s">
        <v>287</v>
      </c>
      <c r="AD186" s="36" t="n">
        <f aca="false">B186-B185</f>
        <v>0.125</v>
      </c>
    </row>
    <row r="187" customFormat="false" ht="15" hidden="false" customHeight="false" outlineLevel="0" collapsed="false">
      <c r="A187" s="30" t="n">
        <v>184</v>
      </c>
      <c r="B187" s="31" t="n">
        <f aca="false">Summary!$B$5+IF(D187=1,0,IF(C187=1,Summary!$B$6,NA()))+(MATCH(1,E187:L187,0)-1)*Summary!$B$7+(MATCH(1,M187:T187,0)-1)*Summary!$B$8+(MATCH(1,U187:AB187,0)-1)*Summary!$B$9</f>
        <v>53</v>
      </c>
      <c r="C187" s="32" t="n">
        <v>0</v>
      </c>
      <c r="D187" s="32" t="n">
        <v>1</v>
      </c>
      <c r="E187" s="32" t="n">
        <v>0</v>
      </c>
      <c r="F187" s="32" t="n">
        <v>0</v>
      </c>
      <c r="G187" s="32" t="n">
        <v>1</v>
      </c>
      <c r="H187" s="32" t="n">
        <v>0</v>
      </c>
      <c r="I187" s="32" t="n">
        <v>0</v>
      </c>
      <c r="J187" s="32" t="n">
        <v>0</v>
      </c>
      <c r="K187" s="32" t="n">
        <v>0</v>
      </c>
      <c r="L187" s="32" t="n">
        <v>0</v>
      </c>
      <c r="M187" s="32" t="n">
        <v>0</v>
      </c>
      <c r="N187" s="32" t="n">
        <v>0</v>
      </c>
      <c r="O187" s="32" t="n">
        <v>0</v>
      </c>
      <c r="P187" s="32" t="n">
        <v>0</v>
      </c>
      <c r="Q187" s="32" t="n">
        <v>0</v>
      </c>
      <c r="R187" s="32" t="n">
        <v>0</v>
      </c>
      <c r="S187" s="32" t="n">
        <v>0</v>
      </c>
      <c r="T187" s="32" t="n">
        <v>1</v>
      </c>
      <c r="U187" s="32" t="n">
        <v>1</v>
      </c>
      <c r="V187" s="32" t="n">
        <v>0</v>
      </c>
      <c r="W187" s="32" t="n">
        <v>0</v>
      </c>
      <c r="X187" s="32" t="n">
        <v>0</v>
      </c>
      <c r="Y187" s="32" t="n">
        <v>0</v>
      </c>
      <c r="Z187" s="32" t="n">
        <v>0</v>
      </c>
      <c r="AA187" s="32" t="n">
        <v>0</v>
      </c>
      <c r="AB187" s="32" t="n">
        <v>0</v>
      </c>
      <c r="AC187" s="30" t="s">
        <v>288</v>
      </c>
      <c r="AD187" s="37" t="n">
        <f aca="false">B187-B186</f>
        <v>0.125</v>
      </c>
    </row>
    <row r="188" customFormat="false" ht="15" hidden="false" customHeight="false" outlineLevel="0" collapsed="false">
      <c r="A188" s="33" t="n">
        <v>185</v>
      </c>
      <c r="B188" s="34" t="n">
        <f aca="false">Summary!$B$5+IF(D188=1,0,IF(C188=1,Summary!$B$6,NA()))+(MATCH(1,E188:L188,0)-1)*Summary!$B$7+(MATCH(1,M188:T188,0)-1)*Summary!$B$8+(MATCH(1,U188:AB188,0)-1)*Summary!$B$9</f>
        <v>53.125</v>
      </c>
      <c r="C188" s="35" t="n">
        <v>0</v>
      </c>
      <c r="D188" s="35" t="n">
        <v>1</v>
      </c>
      <c r="E188" s="35" t="n">
        <v>0</v>
      </c>
      <c r="F188" s="35" t="n">
        <v>0</v>
      </c>
      <c r="G188" s="35" t="n">
        <v>1</v>
      </c>
      <c r="H188" s="35" t="n">
        <v>0</v>
      </c>
      <c r="I188" s="35" t="n">
        <v>0</v>
      </c>
      <c r="J188" s="35" t="n">
        <v>0</v>
      </c>
      <c r="K188" s="35" t="n">
        <v>0</v>
      </c>
      <c r="L188" s="35" t="n">
        <v>0</v>
      </c>
      <c r="M188" s="35" t="n">
        <v>0</v>
      </c>
      <c r="N188" s="35" t="n">
        <v>0</v>
      </c>
      <c r="O188" s="35" t="n">
        <v>0</v>
      </c>
      <c r="P188" s="35" t="n">
        <v>0</v>
      </c>
      <c r="Q188" s="35" t="n">
        <v>0</v>
      </c>
      <c r="R188" s="35" t="n">
        <v>0</v>
      </c>
      <c r="S188" s="35" t="n">
        <v>0</v>
      </c>
      <c r="T188" s="35" t="n">
        <v>1</v>
      </c>
      <c r="U188" s="35" t="n">
        <v>0</v>
      </c>
      <c r="V188" s="35" t="n">
        <v>1</v>
      </c>
      <c r="W188" s="35" t="n">
        <v>0</v>
      </c>
      <c r="X188" s="35" t="n">
        <v>0</v>
      </c>
      <c r="Y188" s="35" t="n">
        <v>0</v>
      </c>
      <c r="Z188" s="35" t="n">
        <v>0</v>
      </c>
      <c r="AA188" s="35" t="n">
        <v>0</v>
      </c>
      <c r="AB188" s="35" t="n">
        <v>0</v>
      </c>
      <c r="AC188" s="33" t="s">
        <v>289</v>
      </c>
      <c r="AD188" s="36" t="n">
        <f aca="false">B188-B187</f>
        <v>0.125</v>
      </c>
    </row>
    <row r="189" customFormat="false" ht="15" hidden="false" customHeight="false" outlineLevel="0" collapsed="false">
      <c r="A189" s="30" t="n">
        <v>186</v>
      </c>
      <c r="B189" s="31" t="n">
        <f aca="false">Summary!$B$5+IF(D189=1,0,IF(C189=1,Summary!$B$6,NA()))+(MATCH(1,E189:L189,0)-1)*Summary!$B$7+(MATCH(1,M189:T189,0)-1)*Summary!$B$8+(MATCH(1,U189:AB189,0)-1)*Summary!$B$9</f>
        <v>53.25</v>
      </c>
      <c r="C189" s="32" t="n">
        <v>0</v>
      </c>
      <c r="D189" s="32" t="n">
        <v>1</v>
      </c>
      <c r="E189" s="32" t="n">
        <v>0</v>
      </c>
      <c r="F189" s="32" t="n">
        <v>0</v>
      </c>
      <c r="G189" s="32" t="n">
        <v>1</v>
      </c>
      <c r="H189" s="32" t="n">
        <v>0</v>
      </c>
      <c r="I189" s="32" t="n">
        <v>0</v>
      </c>
      <c r="J189" s="32" t="n">
        <v>0</v>
      </c>
      <c r="K189" s="32" t="n">
        <v>0</v>
      </c>
      <c r="L189" s="32" t="n">
        <v>0</v>
      </c>
      <c r="M189" s="32" t="n">
        <v>0</v>
      </c>
      <c r="N189" s="32" t="n">
        <v>0</v>
      </c>
      <c r="O189" s="32" t="n">
        <v>0</v>
      </c>
      <c r="P189" s="32" t="n">
        <v>0</v>
      </c>
      <c r="Q189" s="32" t="n">
        <v>0</v>
      </c>
      <c r="R189" s="32" t="n">
        <v>0</v>
      </c>
      <c r="S189" s="32" t="n">
        <v>0</v>
      </c>
      <c r="T189" s="32" t="n">
        <v>1</v>
      </c>
      <c r="U189" s="32" t="n">
        <v>0</v>
      </c>
      <c r="V189" s="32" t="n">
        <v>0</v>
      </c>
      <c r="W189" s="32" t="n">
        <v>1</v>
      </c>
      <c r="X189" s="32" t="n">
        <v>0</v>
      </c>
      <c r="Y189" s="32" t="n">
        <v>0</v>
      </c>
      <c r="Z189" s="32" t="n">
        <v>0</v>
      </c>
      <c r="AA189" s="32" t="n">
        <v>0</v>
      </c>
      <c r="AB189" s="32" t="n">
        <v>0</v>
      </c>
      <c r="AC189" s="30" t="s">
        <v>290</v>
      </c>
      <c r="AD189" s="37" t="n">
        <f aca="false">B189-B188</f>
        <v>0.125</v>
      </c>
    </row>
    <row r="190" customFormat="false" ht="15" hidden="false" customHeight="false" outlineLevel="0" collapsed="false">
      <c r="A190" s="33" t="n">
        <v>187</v>
      </c>
      <c r="B190" s="34" t="n">
        <f aca="false">Summary!$B$5+IF(D190=1,0,IF(C190=1,Summary!$B$6,NA()))+(MATCH(1,E190:L190,0)-1)*Summary!$B$7+(MATCH(1,M190:T190,0)-1)*Summary!$B$8+(MATCH(1,U190:AB190,0)-1)*Summary!$B$9</f>
        <v>53.375</v>
      </c>
      <c r="C190" s="35" t="n">
        <v>0</v>
      </c>
      <c r="D190" s="35" t="n">
        <v>1</v>
      </c>
      <c r="E190" s="35" t="n">
        <v>0</v>
      </c>
      <c r="F190" s="35" t="n">
        <v>0</v>
      </c>
      <c r="G190" s="35" t="n">
        <v>1</v>
      </c>
      <c r="H190" s="35" t="n">
        <v>0</v>
      </c>
      <c r="I190" s="35" t="n">
        <v>0</v>
      </c>
      <c r="J190" s="35" t="n">
        <v>0</v>
      </c>
      <c r="K190" s="35" t="n">
        <v>0</v>
      </c>
      <c r="L190" s="35" t="n">
        <v>0</v>
      </c>
      <c r="M190" s="35" t="n">
        <v>0</v>
      </c>
      <c r="N190" s="35" t="n">
        <v>0</v>
      </c>
      <c r="O190" s="35" t="n">
        <v>0</v>
      </c>
      <c r="P190" s="35" t="n">
        <v>0</v>
      </c>
      <c r="Q190" s="35" t="n">
        <v>0</v>
      </c>
      <c r="R190" s="35" t="n">
        <v>0</v>
      </c>
      <c r="S190" s="35" t="n">
        <v>0</v>
      </c>
      <c r="T190" s="35" t="n">
        <v>1</v>
      </c>
      <c r="U190" s="35" t="n">
        <v>0</v>
      </c>
      <c r="V190" s="35" t="n">
        <v>0</v>
      </c>
      <c r="W190" s="35" t="n">
        <v>0</v>
      </c>
      <c r="X190" s="35" t="n">
        <v>1</v>
      </c>
      <c r="Y190" s="35" t="n">
        <v>0</v>
      </c>
      <c r="Z190" s="35" t="n">
        <v>0</v>
      </c>
      <c r="AA190" s="35" t="n">
        <v>0</v>
      </c>
      <c r="AB190" s="35" t="n">
        <v>0</v>
      </c>
      <c r="AC190" s="33" t="s">
        <v>291</v>
      </c>
      <c r="AD190" s="36" t="n">
        <f aca="false">B190-B189</f>
        <v>0.125</v>
      </c>
    </row>
    <row r="191" customFormat="false" ht="15" hidden="false" customHeight="false" outlineLevel="0" collapsed="false">
      <c r="A191" s="30" t="n">
        <v>188</v>
      </c>
      <c r="B191" s="31" t="n">
        <f aca="false">Summary!$B$5+IF(D191=1,0,IF(C191=1,Summary!$B$6,NA()))+(MATCH(1,E191:L191,0)-1)*Summary!$B$7+(MATCH(1,M191:T191,0)-1)*Summary!$B$8+(MATCH(1,U191:AB191,0)-1)*Summary!$B$9</f>
        <v>53.5</v>
      </c>
      <c r="C191" s="32" t="n">
        <v>0</v>
      </c>
      <c r="D191" s="32" t="n">
        <v>1</v>
      </c>
      <c r="E191" s="32" t="n">
        <v>0</v>
      </c>
      <c r="F191" s="32" t="n">
        <v>0</v>
      </c>
      <c r="G191" s="32" t="n">
        <v>1</v>
      </c>
      <c r="H191" s="32" t="n">
        <v>0</v>
      </c>
      <c r="I191" s="32" t="n">
        <v>0</v>
      </c>
      <c r="J191" s="32" t="n">
        <v>0</v>
      </c>
      <c r="K191" s="32" t="n">
        <v>0</v>
      </c>
      <c r="L191" s="32" t="n">
        <v>0</v>
      </c>
      <c r="M191" s="32" t="n">
        <v>0</v>
      </c>
      <c r="N191" s="32" t="n">
        <v>0</v>
      </c>
      <c r="O191" s="32" t="n">
        <v>0</v>
      </c>
      <c r="P191" s="32" t="n">
        <v>0</v>
      </c>
      <c r="Q191" s="32" t="n">
        <v>0</v>
      </c>
      <c r="R191" s="32" t="n">
        <v>0</v>
      </c>
      <c r="S191" s="32" t="n">
        <v>0</v>
      </c>
      <c r="T191" s="32" t="n">
        <v>1</v>
      </c>
      <c r="U191" s="32" t="n">
        <v>0</v>
      </c>
      <c r="V191" s="32" t="n">
        <v>0</v>
      </c>
      <c r="W191" s="32" t="n">
        <v>0</v>
      </c>
      <c r="X191" s="32" t="n">
        <v>0</v>
      </c>
      <c r="Y191" s="32" t="n">
        <v>1</v>
      </c>
      <c r="Z191" s="32" t="n">
        <v>0</v>
      </c>
      <c r="AA191" s="32" t="n">
        <v>0</v>
      </c>
      <c r="AB191" s="32" t="n">
        <v>0</v>
      </c>
      <c r="AC191" s="30" t="s">
        <v>292</v>
      </c>
      <c r="AD191" s="37" t="n">
        <f aca="false">B191-B190</f>
        <v>0.125</v>
      </c>
    </row>
    <row r="192" customFormat="false" ht="15" hidden="false" customHeight="false" outlineLevel="0" collapsed="false">
      <c r="A192" s="33" t="n">
        <v>189</v>
      </c>
      <c r="B192" s="34" t="n">
        <f aca="false">Summary!$B$5+IF(D192=1,0,IF(C192=1,Summary!$B$6,NA()))+(MATCH(1,E192:L192,0)-1)*Summary!$B$7+(MATCH(1,M192:T192,0)-1)*Summary!$B$8+(MATCH(1,U192:AB192,0)-1)*Summary!$B$9</f>
        <v>53.625</v>
      </c>
      <c r="C192" s="35" t="n">
        <v>0</v>
      </c>
      <c r="D192" s="35" t="n">
        <v>1</v>
      </c>
      <c r="E192" s="35" t="n">
        <v>0</v>
      </c>
      <c r="F192" s="35" t="n">
        <v>0</v>
      </c>
      <c r="G192" s="35" t="n">
        <v>1</v>
      </c>
      <c r="H192" s="35" t="n">
        <v>0</v>
      </c>
      <c r="I192" s="35" t="n">
        <v>0</v>
      </c>
      <c r="J192" s="35" t="n">
        <v>0</v>
      </c>
      <c r="K192" s="35" t="n">
        <v>0</v>
      </c>
      <c r="L192" s="35" t="n">
        <v>0</v>
      </c>
      <c r="M192" s="35" t="n">
        <v>0</v>
      </c>
      <c r="N192" s="35" t="n">
        <v>0</v>
      </c>
      <c r="O192" s="35" t="n">
        <v>0</v>
      </c>
      <c r="P192" s="35" t="n">
        <v>0</v>
      </c>
      <c r="Q192" s="35" t="n">
        <v>0</v>
      </c>
      <c r="R192" s="35" t="n">
        <v>0</v>
      </c>
      <c r="S192" s="35" t="n">
        <v>0</v>
      </c>
      <c r="T192" s="35" t="n">
        <v>1</v>
      </c>
      <c r="U192" s="35" t="n">
        <v>0</v>
      </c>
      <c r="V192" s="35" t="n">
        <v>0</v>
      </c>
      <c r="W192" s="35" t="n">
        <v>0</v>
      </c>
      <c r="X192" s="35" t="n">
        <v>0</v>
      </c>
      <c r="Y192" s="35" t="n">
        <v>0</v>
      </c>
      <c r="Z192" s="35" t="n">
        <v>1</v>
      </c>
      <c r="AA192" s="35" t="n">
        <v>0</v>
      </c>
      <c r="AB192" s="35" t="n">
        <v>0</v>
      </c>
      <c r="AC192" s="33" t="s">
        <v>293</v>
      </c>
      <c r="AD192" s="36" t="n">
        <f aca="false">B192-B191</f>
        <v>0.125</v>
      </c>
    </row>
    <row r="193" customFormat="false" ht="15" hidden="false" customHeight="false" outlineLevel="0" collapsed="false">
      <c r="A193" s="30" t="n">
        <v>190</v>
      </c>
      <c r="B193" s="31" t="n">
        <f aca="false">Summary!$B$5+IF(D193=1,0,IF(C193=1,Summary!$B$6,NA()))+(MATCH(1,E193:L193,0)-1)*Summary!$B$7+(MATCH(1,M193:T193,0)-1)*Summary!$B$8+(MATCH(1,U193:AB193,0)-1)*Summary!$B$9</f>
        <v>53.75</v>
      </c>
      <c r="C193" s="32" t="n">
        <v>0</v>
      </c>
      <c r="D193" s="32" t="n">
        <v>1</v>
      </c>
      <c r="E193" s="32" t="n">
        <v>0</v>
      </c>
      <c r="F193" s="32" t="n">
        <v>0</v>
      </c>
      <c r="G193" s="32" t="n">
        <v>1</v>
      </c>
      <c r="H193" s="32" t="n">
        <v>0</v>
      </c>
      <c r="I193" s="32" t="n">
        <v>0</v>
      </c>
      <c r="J193" s="32" t="n">
        <v>0</v>
      </c>
      <c r="K193" s="32" t="n">
        <v>0</v>
      </c>
      <c r="L193" s="32" t="n">
        <v>0</v>
      </c>
      <c r="M193" s="32" t="n">
        <v>0</v>
      </c>
      <c r="N193" s="32" t="n">
        <v>0</v>
      </c>
      <c r="O193" s="32" t="n">
        <v>0</v>
      </c>
      <c r="P193" s="32" t="n">
        <v>0</v>
      </c>
      <c r="Q193" s="32" t="n">
        <v>0</v>
      </c>
      <c r="R193" s="32" t="n">
        <v>0</v>
      </c>
      <c r="S193" s="32" t="n">
        <v>0</v>
      </c>
      <c r="T193" s="32" t="n">
        <v>1</v>
      </c>
      <c r="U193" s="32" t="n">
        <v>0</v>
      </c>
      <c r="V193" s="32" t="n">
        <v>0</v>
      </c>
      <c r="W193" s="32" t="n">
        <v>0</v>
      </c>
      <c r="X193" s="32" t="n">
        <v>0</v>
      </c>
      <c r="Y193" s="32" t="n">
        <v>0</v>
      </c>
      <c r="Z193" s="32" t="n">
        <v>0</v>
      </c>
      <c r="AA193" s="32" t="n">
        <v>1</v>
      </c>
      <c r="AB193" s="32" t="n">
        <v>0</v>
      </c>
      <c r="AC193" s="30" t="s">
        <v>294</v>
      </c>
      <c r="AD193" s="37" t="n">
        <f aca="false">B193-B192</f>
        <v>0.125</v>
      </c>
    </row>
    <row r="194" customFormat="false" ht="15" hidden="false" customHeight="false" outlineLevel="0" collapsed="false">
      <c r="A194" s="33" t="n">
        <v>191</v>
      </c>
      <c r="B194" s="34" t="n">
        <f aca="false">Summary!$B$5+IF(D194=1,0,IF(C194=1,Summary!$B$6,NA()))+(MATCH(1,E194:L194,0)-1)*Summary!$B$7+(MATCH(1,M194:T194,0)-1)*Summary!$B$8+(MATCH(1,U194:AB194,0)-1)*Summary!$B$9</f>
        <v>53.875</v>
      </c>
      <c r="C194" s="35" t="n">
        <v>0</v>
      </c>
      <c r="D194" s="35" t="n">
        <v>1</v>
      </c>
      <c r="E194" s="35" t="n">
        <v>0</v>
      </c>
      <c r="F194" s="35" t="n">
        <v>0</v>
      </c>
      <c r="G194" s="35" t="n">
        <v>1</v>
      </c>
      <c r="H194" s="35" t="n">
        <v>0</v>
      </c>
      <c r="I194" s="35" t="n">
        <v>0</v>
      </c>
      <c r="J194" s="35" t="n">
        <v>0</v>
      </c>
      <c r="K194" s="35" t="n">
        <v>0</v>
      </c>
      <c r="L194" s="35" t="n">
        <v>0</v>
      </c>
      <c r="M194" s="35" t="n">
        <v>0</v>
      </c>
      <c r="N194" s="35" t="n">
        <v>0</v>
      </c>
      <c r="O194" s="35" t="n">
        <v>0</v>
      </c>
      <c r="P194" s="35" t="n">
        <v>0</v>
      </c>
      <c r="Q194" s="35" t="n">
        <v>0</v>
      </c>
      <c r="R194" s="35" t="n">
        <v>0</v>
      </c>
      <c r="S194" s="35" t="n">
        <v>0</v>
      </c>
      <c r="T194" s="35" t="n">
        <v>1</v>
      </c>
      <c r="U194" s="35" t="n">
        <v>0</v>
      </c>
      <c r="V194" s="35" t="n">
        <v>0</v>
      </c>
      <c r="W194" s="35" t="n">
        <v>0</v>
      </c>
      <c r="X194" s="35" t="n">
        <v>0</v>
      </c>
      <c r="Y194" s="35" t="n">
        <v>0</v>
      </c>
      <c r="Z194" s="35" t="n">
        <v>0</v>
      </c>
      <c r="AA194" s="35" t="n">
        <v>0</v>
      </c>
      <c r="AB194" s="35" t="n">
        <v>1</v>
      </c>
      <c r="AC194" s="33" t="s">
        <v>295</v>
      </c>
      <c r="AD194" s="36" t="n">
        <f aca="false">B194-B193</f>
        <v>0.125</v>
      </c>
    </row>
    <row r="195" customFormat="false" ht="15" hidden="false" customHeight="false" outlineLevel="0" collapsed="false">
      <c r="A195" s="30" t="n">
        <v>192</v>
      </c>
      <c r="B195" s="31" t="n">
        <f aca="false">Summary!$B$5+IF(D195=1,0,IF(C195=1,Summary!$B$6,NA()))+(MATCH(1,E195:L195,0)-1)*Summary!$B$7+(MATCH(1,M195:T195,0)-1)*Summary!$B$8+(MATCH(1,U195:AB195,0)-1)*Summary!$B$9</f>
        <v>54</v>
      </c>
      <c r="C195" s="32" t="n">
        <v>0</v>
      </c>
      <c r="D195" s="32" t="n">
        <v>1</v>
      </c>
      <c r="E195" s="32" t="n">
        <v>0</v>
      </c>
      <c r="F195" s="32" t="n">
        <v>0</v>
      </c>
      <c r="G195" s="32" t="n">
        <v>0</v>
      </c>
      <c r="H195" s="32" t="n">
        <v>1</v>
      </c>
      <c r="I195" s="32" t="n">
        <v>0</v>
      </c>
      <c r="J195" s="32" t="n">
        <v>0</v>
      </c>
      <c r="K195" s="32" t="n">
        <v>0</v>
      </c>
      <c r="L195" s="32" t="n">
        <v>0</v>
      </c>
      <c r="M195" s="32" t="n">
        <v>1</v>
      </c>
      <c r="N195" s="32" t="n">
        <v>0</v>
      </c>
      <c r="O195" s="32" t="n">
        <v>0</v>
      </c>
      <c r="P195" s="32" t="n">
        <v>0</v>
      </c>
      <c r="Q195" s="32" t="n">
        <v>0</v>
      </c>
      <c r="R195" s="32" t="n">
        <v>0</v>
      </c>
      <c r="S195" s="32" t="n">
        <v>0</v>
      </c>
      <c r="T195" s="32" t="n">
        <v>0</v>
      </c>
      <c r="U195" s="32" t="n">
        <v>1</v>
      </c>
      <c r="V195" s="32" t="n">
        <v>0</v>
      </c>
      <c r="W195" s="32" t="n">
        <v>0</v>
      </c>
      <c r="X195" s="32" t="n">
        <v>0</v>
      </c>
      <c r="Y195" s="32" t="n">
        <v>0</v>
      </c>
      <c r="Z195" s="32" t="n">
        <v>0</v>
      </c>
      <c r="AA195" s="32" t="n">
        <v>0</v>
      </c>
      <c r="AB195" s="32" t="n">
        <v>0</v>
      </c>
      <c r="AC195" s="30" t="s">
        <v>296</v>
      </c>
      <c r="AD195" s="37" t="n">
        <f aca="false">B195-B194</f>
        <v>0.125</v>
      </c>
    </row>
    <row r="196" customFormat="false" ht="15" hidden="false" customHeight="false" outlineLevel="0" collapsed="false">
      <c r="A196" s="33" t="n">
        <v>193</v>
      </c>
      <c r="B196" s="34" t="n">
        <f aca="false">Summary!$B$5+IF(D196=1,0,IF(C196=1,Summary!$B$6,NA()))+(MATCH(1,E196:L196,0)-1)*Summary!$B$7+(MATCH(1,M196:T196,0)-1)*Summary!$B$8+(MATCH(1,U196:AB196,0)-1)*Summary!$B$9</f>
        <v>54.125</v>
      </c>
      <c r="C196" s="35" t="n">
        <v>0</v>
      </c>
      <c r="D196" s="35" t="n">
        <v>1</v>
      </c>
      <c r="E196" s="35" t="n">
        <v>0</v>
      </c>
      <c r="F196" s="35" t="n">
        <v>0</v>
      </c>
      <c r="G196" s="35" t="n">
        <v>0</v>
      </c>
      <c r="H196" s="35" t="n">
        <v>1</v>
      </c>
      <c r="I196" s="35" t="n">
        <v>0</v>
      </c>
      <c r="J196" s="35" t="n">
        <v>0</v>
      </c>
      <c r="K196" s="35" t="n">
        <v>0</v>
      </c>
      <c r="L196" s="35" t="n">
        <v>0</v>
      </c>
      <c r="M196" s="35" t="n">
        <v>1</v>
      </c>
      <c r="N196" s="35" t="n">
        <v>0</v>
      </c>
      <c r="O196" s="35" t="n">
        <v>0</v>
      </c>
      <c r="P196" s="35" t="n">
        <v>0</v>
      </c>
      <c r="Q196" s="35" t="n">
        <v>0</v>
      </c>
      <c r="R196" s="35" t="n">
        <v>0</v>
      </c>
      <c r="S196" s="35" t="n">
        <v>0</v>
      </c>
      <c r="T196" s="35" t="n">
        <v>0</v>
      </c>
      <c r="U196" s="35" t="n">
        <v>0</v>
      </c>
      <c r="V196" s="35" t="n">
        <v>1</v>
      </c>
      <c r="W196" s="35" t="n">
        <v>0</v>
      </c>
      <c r="X196" s="35" t="n">
        <v>0</v>
      </c>
      <c r="Y196" s="35" t="n">
        <v>0</v>
      </c>
      <c r="Z196" s="35" t="n">
        <v>0</v>
      </c>
      <c r="AA196" s="35" t="n">
        <v>0</v>
      </c>
      <c r="AB196" s="35" t="n">
        <v>0</v>
      </c>
      <c r="AC196" s="33" t="s">
        <v>297</v>
      </c>
      <c r="AD196" s="36" t="n">
        <f aca="false">B196-B195</f>
        <v>0.125</v>
      </c>
    </row>
    <row r="197" customFormat="false" ht="15" hidden="false" customHeight="false" outlineLevel="0" collapsed="false">
      <c r="A197" s="30" t="n">
        <v>194</v>
      </c>
      <c r="B197" s="31" t="n">
        <f aca="false">Summary!$B$5+IF(D197=1,0,IF(C197=1,Summary!$B$6,NA()))+(MATCH(1,E197:L197,0)-1)*Summary!$B$7+(MATCH(1,M197:T197,0)-1)*Summary!$B$8+(MATCH(1,U197:AB197,0)-1)*Summary!$B$9</f>
        <v>54.25</v>
      </c>
      <c r="C197" s="32" t="n">
        <v>0</v>
      </c>
      <c r="D197" s="32" t="n">
        <v>1</v>
      </c>
      <c r="E197" s="32" t="n">
        <v>0</v>
      </c>
      <c r="F197" s="32" t="n">
        <v>0</v>
      </c>
      <c r="G197" s="32" t="n">
        <v>0</v>
      </c>
      <c r="H197" s="32" t="n">
        <v>1</v>
      </c>
      <c r="I197" s="32" t="n">
        <v>0</v>
      </c>
      <c r="J197" s="32" t="n">
        <v>0</v>
      </c>
      <c r="K197" s="32" t="n">
        <v>0</v>
      </c>
      <c r="L197" s="32" t="n">
        <v>0</v>
      </c>
      <c r="M197" s="32" t="n">
        <v>1</v>
      </c>
      <c r="N197" s="32" t="n">
        <v>0</v>
      </c>
      <c r="O197" s="32" t="n">
        <v>0</v>
      </c>
      <c r="P197" s="32" t="n">
        <v>0</v>
      </c>
      <c r="Q197" s="32" t="n">
        <v>0</v>
      </c>
      <c r="R197" s="32" t="n">
        <v>0</v>
      </c>
      <c r="S197" s="32" t="n">
        <v>0</v>
      </c>
      <c r="T197" s="32" t="n">
        <v>0</v>
      </c>
      <c r="U197" s="32" t="n">
        <v>0</v>
      </c>
      <c r="V197" s="32" t="n">
        <v>0</v>
      </c>
      <c r="W197" s="32" t="n">
        <v>1</v>
      </c>
      <c r="X197" s="32" t="n">
        <v>0</v>
      </c>
      <c r="Y197" s="32" t="n">
        <v>0</v>
      </c>
      <c r="Z197" s="32" t="n">
        <v>0</v>
      </c>
      <c r="AA197" s="32" t="n">
        <v>0</v>
      </c>
      <c r="AB197" s="32" t="n">
        <v>0</v>
      </c>
      <c r="AC197" s="30" t="s">
        <v>298</v>
      </c>
      <c r="AD197" s="37" t="n">
        <f aca="false">B197-B196</f>
        <v>0.125</v>
      </c>
    </row>
    <row r="198" customFormat="false" ht="15" hidden="false" customHeight="false" outlineLevel="0" collapsed="false">
      <c r="A198" s="33" t="n">
        <v>195</v>
      </c>
      <c r="B198" s="34" t="n">
        <f aca="false">Summary!$B$5+IF(D198=1,0,IF(C198=1,Summary!$B$6,NA()))+(MATCH(1,E198:L198,0)-1)*Summary!$B$7+(MATCH(1,M198:T198,0)-1)*Summary!$B$8+(MATCH(1,U198:AB198,0)-1)*Summary!$B$9</f>
        <v>54.375</v>
      </c>
      <c r="C198" s="35" t="n">
        <v>0</v>
      </c>
      <c r="D198" s="35" t="n">
        <v>1</v>
      </c>
      <c r="E198" s="35" t="n">
        <v>0</v>
      </c>
      <c r="F198" s="35" t="n">
        <v>0</v>
      </c>
      <c r="G198" s="35" t="n">
        <v>0</v>
      </c>
      <c r="H198" s="35" t="n">
        <v>1</v>
      </c>
      <c r="I198" s="35" t="n">
        <v>0</v>
      </c>
      <c r="J198" s="35" t="n">
        <v>0</v>
      </c>
      <c r="K198" s="35" t="n">
        <v>0</v>
      </c>
      <c r="L198" s="35" t="n">
        <v>0</v>
      </c>
      <c r="M198" s="35" t="n">
        <v>1</v>
      </c>
      <c r="N198" s="35" t="n">
        <v>0</v>
      </c>
      <c r="O198" s="35" t="n">
        <v>0</v>
      </c>
      <c r="P198" s="35" t="n">
        <v>0</v>
      </c>
      <c r="Q198" s="35" t="n">
        <v>0</v>
      </c>
      <c r="R198" s="35" t="n">
        <v>0</v>
      </c>
      <c r="S198" s="35" t="n">
        <v>0</v>
      </c>
      <c r="T198" s="35" t="n">
        <v>0</v>
      </c>
      <c r="U198" s="35" t="n">
        <v>0</v>
      </c>
      <c r="V198" s="35" t="n">
        <v>0</v>
      </c>
      <c r="W198" s="35" t="n">
        <v>0</v>
      </c>
      <c r="X198" s="35" t="n">
        <v>1</v>
      </c>
      <c r="Y198" s="35" t="n">
        <v>0</v>
      </c>
      <c r="Z198" s="35" t="n">
        <v>0</v>
      </c>
      <c r="AA198" s="35" t="n">
        <v>0</v>
      </c>
      <c r="AB198" s="35" t="n">
        <v>0</v>
      </c>
      <c r="AC198" s="33" t="s">
        <v>299</v>
      </c>
      <c r="AD198" s="36" t="n">
        <f aca="false">B198-B197</f>
        <v>0.125</v>
      </c>
    </row>
    <row r="199" customFormat="false" ht="15" hidden="false" customHeight="false" outlineLevel="0" collapsed="false">
      <c r="A199" s="30" t="n">
        <v>196</v>
      </c>
      <c r="B199" s="31" t="n">
        <f aca="false">Summary!$B$5+IF(D199=1,0,IF(C199=1,Summary!$B$6,NA()))+(MATCH(1,E199:L199,0)-1)*Summary!$B$7+(MATCH(1,M199:T199,0)-1)*Summary!$B$8+(MATCH(1,U199:AB199,0)-1)*Summary!$B$9</f>
        <v>54.5</v>
      </c>
      <c r="C199" s="32" t="n">
        <v>0</v>
      </c>
      <c r="D199" s="32" t="n">
        <v>1</v>
      </c>
      <c r="E199" s="32" t="n">
        <v>0</v>
      </c>
      <c r="F199" s="32" t="n">
        <v>0</v>
      </c>
      <c r="G199" s="32" t="n">
        <v>0</v>
      </c>
      <c r="H199" s="32" t="n">
        <v>1</v>
      </c>
      <c r="I199" s="32" t="n">
        <v>0</v>
      </c>
      <c r="J199" s="32" t="n">
        <v>0</v>
      </c>
      <c r="K199" s="32" t="n">
        <v>0</v>
      </c>
      <c r="L199" s="32" t="n">
        <v>0</v>
      </c>
      <c r="M199" s="32" t="n">
        <v>1</v>
      </c>
      <c r="N199" s="32" t="n">
        <v>0</v>
      </c>
      <c r="O199" s="32" t="n">
        <v>0</v>
      </c>
      <c r="P199" s="32" t="n">
        <v>0</v>
      </c>
      <c r="Q199" s="32" t="n">
        <v>0</v>
      </c>
      <c r="R199" s="32" t="n">
        <v>0</v>
      </c>
      <c r="S199" s="32" t="n">
        <v>0</v>
      </c>
      <c r="T199" s="32" t="n">
        <v>0</v>
      </c>
      <c r="U199" s="32" t="n">
        <v>0</v>
      </c>
      <c r="V199" s="32" t="n">
        <v>0</v>
      </c>
      <c r="W199" s="32" t="n">
        <v>0</v>
      </c>
      <c r="X199" s="32" t="n">
        <v>0</v>
      </c>
      <c r="Y199" s="32" t="n">
        <v>1</v>
      </c>
      <c r="Z199" s="32" t="n">
        <v>0</v>
      </c>
      <c r="AA199" s="32" t="n">
        <v>0</v>
      </c>
      <c r="AB199" s="32" t="n">
        <v>0</v>
      </c>
      <c r="AC199" s="30" t="s">
        <v>300</v>
      </c>
      <c r="AD199" s="37" t="n">
        <f aca="false">B199-B198</f>
        <v>0.125</v>
      </c>
    </row>
    <row r="200" customFormat="false" ht="15" hidden="false" customHeight="false" outlineLevel="0" collapsed="false">
      <c r="A200" s="33" t="n">
        <v>197</v>
      </c>
      <c r="B200" s="34" t="n">
        <f aca="false">Summary!$B$5+IF(D200=1,0,IF(C200=1,Summary!$B$6,NA()))+(MATCH(1,E200:L200,0)-1)*Summary!$B$7+(MATCH(1,M200:T200,0)-1)*Summary!$B$8+(MATCH(1,U200:AB200,0)-1)*Summary!$B$9</f>
        <v>54.625</v>
      </c>
      <c r="C200" s="35" t="n">
        <v>0</v>
      </c>
      <c r="D200" s="35" t="n">
        <v>1</v>
      </c>
      <c r="E200" s="35" t="n">
        <v>0</v>
      </c>
      <c r="F200" s="35" t="n">
        <v>0</v>
      </c>
      <c r="G200" s="35" t="n">
        <v>0</v>
      </c>
      <c r="H200" s="35" t="n">
        <v>1</v>
      </c>
      <c r="I200" s="35" t="n">
        <v>0</v>
      </c>
      <c r="J200" s="35" t="n">
        <v>0</v>
      </c>
      <c r="K200" s="35" t="n">
        <v>0</v>
      </c>
      <c r="L200" s="35" t="n">
        <v>0</v>
      </c>
      <c r="M200" s="35" t="n">
        <v>1</v>
      </c>
      <c r="N200" s="35" t="n">
        <v>0</v>
      </c>
      <c r="O200" s="35" t="n">
        <v>0</v>
      </c>
      <c r="P200" s="35" t="n">
        <v>0</v>
      </c>
      <c r="Q200" s="35" t="n">
        <v>0</v>
      </c>
      <c r="R200" s="35" t="n">
        <v>0</v>
      </c>
      <c r="S200" s="35" t="n">
        <v>0</v>
      </c>
      <c r="T200" s="35" t="n">
        <v>0</v>
      </c>
      <c r="U200" s="35" t="n">
        <v>0</v>
      </c>
      <c r="V200" s="35" t="n">
        <v>0</v>
      </c>
      <c r="W200" s="35" t="n">
        <v>0</v>
      </c>
      <c r="X200" s="35" t="n">
        <v>0</v>
      </c>
      <c r="Y200" s="35" t="n">
        <v>0</v>
      </c>
      <c r="Z200" s="35" t="n">
        <v>1</v>
      </c>
      <c r="AA200" s="35" t="n">
        <v>0</v>
      </c>
      <c r="AB200" s="35" t="n">
        <v>0</v>
      </c>
      <c r="AC200" s="33" t="s">
        <v>301</v>
      </c>
      <c r="AD200" s="36" t="n">
        <f aca="false">B200-B199</f>
        <v>0.125</v>
      </c>
    </row>
    <row r="201" customFormat="false" ht="15" hidden="false" customHeight="false" outlineLevel="0" collapsed="false">
      <c r="A201" s="30" t="n">
        <v>198</v>
      </c>
      <c r="B201" s="31" t="n">
        <f aca="false">Summary!$B$5+IF(D201=1,0,IF(C201=1,Summary!$B$6,NA()))+(MATCH(1,E201:L201,0)-1)*Summary!$B$7+(MATCH(1,M201:T201,0)-1)*Summary!$B$8+(MATCH(1,U201:AB201,0)-1)*Summary!$B$9</f>
        <v>54.75</v>
      </c>
      <c r="C201" s="32" t="n">
        <v>0</v>
      </c>
      <c r="D201" s="32" t="n">
        <v>1</v>
      </c>
      <c r="E201" s="32" t="n">
        <v>0</v>
      </c>
      <c r="F201" s="32" t="n">
        <v>0</v>
      </c>
      <c r="G201" s="32" t="n">
        <v>0</v>
      </c>
      <c r="H201" s="32" t="n">
        <v>1</v>
      </c>
      <c r="I201" s="32" t="n">
        <v>0</v>
      </c>
      <c r="J201" s="32" t="n">
        <v>0</v>
      </c>
      <c r="K201" s="32" t="n">
        <v>0</v>
      </c>
      <c r="L201" s="32" t="n">
        <v>0</v>
      </c>
      <c r="M201" s="32" t="n">
        <v>1</v>
      </c>
      <c r="N201" s="32" t="n">
        <v>0</v>
      </c>
      <c r="O201" s="32" t="n">
        <v>0</v>
      </c>
      <c r="P201" s="32" t="n">
        <v>0</v>
      </c>
      <c r="Q201" s="32" t="n">
        <v>0</v>
      </c>
      <c r="R201" s="32" t="n">
        <v>0</v>
      </c>
      <c r="S201" s="32" t="n">
        <v>0</v>
      </c>
      <c r="T201" s="32" t="n">
        <v>0</v>
      </c>
      <c r="U201" s="32" t="n">
        <v>0</v>
      </c>
      <c r="V201" s="32" t="n">
        <v>0</v>
      </c>
      <c r="W201" s="32" t="n">
        <v>0</v>
      </c>
      <c r="X201" s="32" t="n">
        <v>0</v>
      </c>
      <c r="Y201" s="32" t="n">
        <v>0</v>
      </c>
      <c r="Z201" s="32" t="n">
        <v>0</v>
      </c>
      <c r="AA201" s="32" t="n">
        <v>1</v>
      </c>
      <c r="AB201" s="32" t="n">
        <v>0</v>
      </c>
      <c r="AC201" s="30" t="s">
        <v>302</v>
      </c>
      <c r="AD201" s="37" t="n">
        <f aca="false">B201-B200</f>
        <v>0.125</v>
      </c>
    </row>
    <row r="202" customFormat="false" ht="15" hidden="false" customHeight="false" outlineLevel="0" collapsed="false">
      <c r="A202" s="33" t="n">
        <v>199</v>
      </c>
      <c r="B202" s="34" t="n">
        <f aca="false">Summary!$B$5+IF(D202=1,0,IF(C202=1,Summary!$B$6,NA()))+(MATCH(1,E202:L202,0)-1)*Summary!$B$7+(MATCH(1,M202:T202,0)-1)*Summary!$B$8+(MATCH(1,U202:AB202,0)-1)*Summary!$B$9</f>
        <v>54.875</v>
      </c>
      <c r="C202" s="35" t="n">
        <v>0</v>
      </c>
      <c r="D202" s="35" t="n">
        <v>1</v>
      </c>
      <c r="E202" s="35" t="n">
        <v>0</v>
      </c>
      <c r="F202" s="35" t="n">
        <v>0</v>
      </c>
      <c r="G202" s="35" t="n">
        <v>0</v>
      </c>
      <c r="H202" s="35" t="n">
        <v>1</v>
      </c>
      <c r="I202" s="35" t="n">
        <v>0</v>
      </c>
      <c r="J202" s="35" t="n">
        <v>0</v>
      </c>
      <c r="K202" s="35" t="n">
        <v>0</v>
      </c>
      <c r="L202" s="35" t="n">
        <v>0</v>
      </c>
      <c r="M202" s="35" t="n">
        <v>1</v>
      </c>
      <c r="N202" s="35" t="n">
        <v>0</v>
      </c>
      <c r="O202" s="35" t="n">
        <v>0</v>
      </c>
      <c r="P202" s="35" t="n">
        <v>0</v>
      </c>
      <c r="Q202" s="35" t="n">
        <v>0</v>
      </c>
      <c r="R202" s="35" t="n">
        <v>0</v>
      </c>
      <c r="S202" s="35" t="n">
        <v>0</v>
      </c>
      <c r="T202" s="35" t="n">
        <v>0</v>
      </c>
      <c r="U202" s="35" t="n">
        <v>0</v>
      </c>
      <c r="V202" s="35" t="n">
        <v>0</v>
      </c>
      <c r="W202" s="35" t="n">
        <v>0</v>
      </c>
      <c r="X202" s="35" t="n">
        <v>0</v>
      </c>
      <c r="Y202" s="35" t="n">
        <v>0</v>
      </c>
      <c r="Z202" s="35" t="n">
        <v>0</v>
      </c>
      <c r="AA202" s="35" t="n">
        <v>0</v>
      </c>
      <c r="AB202" s="35" t="n">
        <v>1</v>
      </c>
      <c r="AC202" s="33" t="s">
        <v>303</v>
      </c>
      <c r="AD202" s="36" t="n">
        <f aca="false">B202-B201</f>
        <v>0.125</v>
      </c>
    </row>
    <row r="203" customFormat="false" ht="15" hidden="false" customHeight="false" outlineLevel="0" collapsed="false">
      <c r="A203" s="30" t="n">
        <v>200</v>
      </c>
      <c r="B203" s="31" t="n">
        <f aca="false">Summary!$B$5+IF(D203=1,0,IF(C203=1,Summary!$B$6,NA()))+(MATCH(1,E203:L203,0)-1)*Summary!$B$7+(MATCH(1,M203:T203,0)-1)*Summary!$B$8+(MATCH(1,U203:AB203,0)-1)*Summary!$B$9</f>
        <v>55</v>
      </c>
      <c r="C203" s="32" t="n">
        <v>0</v>
      </c>
      <c r="D203" s="32" t="n">
        <v>1</v>
      </c>
      <c r="E203" s="32" t="n">
        <v>0</v>
      </c>
      <c r="F203" s="32" t="n">
        <v>0</v>
      </c>
      <c r="G203" s="32" t="n">
        <v>0</v>
      </c>
      <c r="H203" s="32" t="n">
        <v>1</v>
      </c>
      <c r="I203" s="32" t="n">
        <v>0</v>
      </c>
      <c r="J203" s="32" t="n">
        <v>0</v>
      </c>
      <c r="K203" s="32" t="n">
        <v>0</v>
      </c>
      <c r="L203" s="32" t="n">
        <v>0</v>
      </c>
      <c r="M203" s="32" t="n">
        <v>0</v>
      </c>
      <c r="N203" s="32" t="n">
        <v>1</v>
      </c>
      <c r="O203" s="32" t="n">
        <v>0</v>
      </c>
      <c r="P203" s="32" t="n">
        <v>0</v>
      </c>
      <c r="Q203" s="32" t="n">
        <v>0</v>
      </c>
      <c r="R203" s="32" t="n">
        <v>0</v>
      </c>
      <c r="S203" s="32" t="n">
        <v>0</v>
      </c>
      <c r="T203" s="32" t="n">
        <v>0</v>
      </c>
      <c r="U203" s="32" t="n">
        <v>1</v>
      </c>
      <c r="V203" s="32" t="n">
        <v>0</v>
      </c>
      <c r="W203" s="32" t="n">
        <v>0</v>
      </c>
      <c r="X203" s="32" t="n">
        <v>0</v>
      </c>
      <c r="Y203" s="32" t="n">
        <v>0</v>
      </c>
      <c r="Z203" s="32" t="n">
        <v>0</v>
      </c>
      <c r="AA203" s="32" t="n">
        <v>0</v>
      </c>
      <c r="AB203" s="32" t="n">
        <v>0</v>
      </c>
      <c r="AC203" s="30" t="s">
        <v>304</v>
      </c>
      <c r="AD203" s="37" t="n">
        <f aca="false">B203-B202</f>
        <v>0.125</v>
      </c>
    </row>
    <row r="204" customFormat="false" ht="15" hidden="false" customHeight="false" outlineLevel="0" collapsed="false">
      <c r="A204" s="33" t="n">
        <v>201</v>
      </c>
      <c r="B204" s="34" t="n">
        <f aca="false">Summary!$B$5+IF(D204=1,0,IF(C204=1,Summary!$B$6,NA()))+(MATCH(1,E204:L204,0)-1)*Summary!$B$7+(MATCH(1,M204:T204,0)-1)*Summary!$B$8+(MATCH(1,U204:AB204,0)-1)*Summary!$B$9</f>
        <v>55.125</v>
      </c>
      <c r="C204" s="35" t="n">
        <v>0</v>
      </c>
      <c r="D204" s="35" t="n">
        <v>1</v>
      </c>
      <c r="E204" s="35" t="n">
        <v>0</v>
      </c>
      <c r="F204" s="35" t="n">
        <v>0</v>
      </c>
      <c r="G204" s="35" t="n">
        <v>0</v>
      </c>
      <c r="H204" s="35" t="n">
        <v>1</v>
      </c>
      <c r="I204" s="35" t="n">
        <v>0</v>
      </c>
      <c r="J204" s="35" t="n">
        <v>0</v>
      </c>
      <c r="K204" s="35" t="n">
        <v>0</v>
      </c>
      <c r="L204" s="35" t="n">
        <v>0</v>
      </c>
      <c r="M204" s="35" t="n">
        <v>0</v>
      </c>
      <c r="N204" s="35" t="n">
        <v>1</v>
      </c>
      <c r="O204" s="35" t="n">
        <v>0</v>
      </c>
      <c r="P204" s="35" t="n">
        <v>0</v>
      </c>
      <c r="Q204" s="35" t="n">
        <v>0</v>
      </c>
      <c r="R204" s="35" t="n">
        <v>0</v>
      </c>
      <c r="S204" s="35" t="n">
        <v>0</v>
      </c>
      <c r="T204" s="35" t="n">
        <v>0</v>
      </c>
      <c r="U204" s="35" t="n">
        <v>0</v>
      </c>
      <c r="V204" s="35" t="n">
        <v>1</v>
      </c>
      <c r="W204" s="35" t="n">
        <v>0</v>
      </c>
      <c r="X204" s="35" t="n">
        <v>0</v>
      </c>
      <c r="Y204" s="35" t="n">
        <v>0</v>
      </c>
      <c r="Z204" s="35" t="n">
        <v>0</v>
      </c>
      <c r="AA204" s="35" t="n">
        <v>0</v>
      </c>
      <c r="AB204" s="35" t="n">
        <v>0</v>
      </c>
      <c r="AC204" s="33" t="s">
        <v>305</v>
      </c>
      <c r="AD204" s="36" t="n">
        <f aca="false">B204-B203</f>
        <v>0.125</v>
      </c>
    </row>
    <row r="205" customFormat="false" ht="15" hidden="false" customHeight="false" outlineLevel="0" collapsed="false">
      <c r="A205" s="30" t="n">
        <v>202</v>
      </c>
      <c r="B205" s="31" t="n">
        <f aca="false">Summary!$B$5+IF(D205=1,0,IF(C205=1,Summary!$B$6,NA()))+(MATCH(1,E205:L205,0)-1)*Summary!$B$7+(MATCH(1,M205:T205,0)-1)*Summary!$B$8+(MATCH(1,U205:AB205,0)-1)*Summary!$B$9</f>
        <v>55.25</v>
      </c>
      <c r="C205" s="32" t="n">
        <v>0</v>
      </c>
      <c r="D205" s="32" t="n">
        <v>1</v>
      </c>
      <c r="E205" s="32" t="n">
        <v>0</v>
      </c>
      <c r="F205" s="32" t="n">
        <v>0</v>
      </c>
      <c r="G205" s="32" t="n">
        <v>0</v>
      </c>
      <c r="H205" s="32" t="n">
        <v>1</v>
      </c>
      <c r="I205" s="32" t="n">
        <v>0</v>
      </c>
      <c r="J205" s="32" t="n">
        <v>0</v>
      </c>
      <c r="K205" s="32" t="n">
        <v>0</v>
      </c>
      <c r="L205" s="32" t="n">
        <v>0</v>
      </c>
      <c r="M205" s="32" t="n">
        <v>0</v>
      </c>
      <c r="N205" s="32" t="n">
        <v>1</v>
      </c>
      <c r="O205" s="32" t="n">
        <v>0</v>
      </c>
      <c r="P205" s="32" t="n">
        <v>0</v>
      </c>
      <c r="Q205" s="32" t="n">
        <v>0</v>
      </c>
      <c r="R205" s="32" t="n">
        <v>0</v>
      </c>
      <c r="S205" s="32" t="n">
        <v>0</v>
      </c>
      <c r="T205" s="32" t="n">
        <v>0</v>
      </c>
      <c r="U205" s="32" t="n">
        <v>0</v>
      </c>
      <c r="V205" s="32" t="n">
        <v>0</v>
      </c>
      <c r="W205" s="32" t="n">
        <v>1</v>
      </c>
      <c r="X205" s="32" t="n">
        <v>0</v>
      </c>
      <c r="Y205" s="32" t="n">
        <v>0</v>
      </c>
      <c r="Z205" s="32" t="n">
        <v>0</v>
      </c>
      <c r="AA205" s="32" t="n">
        <v>0</v>
      </c>
      <c r="AB205" s="32" t="n">
        <v>0</v>
      </c>
      <c r="AC205" s="30" t="s">
        <v>306</v>
      </c>
      <c r="AD205" s="37" t="n">
        <f aca="false">B205-B204</f>
        <v>0.125</v>
      </c>
    </row>
    <row r="206" customFormat="false" ht="15" hidden="false" customHeight="false" outlineLevel="0" collapsed="false">
      <c r="A206" s="33" t="n">
        <v>203</v>
      </c>
      <c r="B206" s="34" t="n">
        <f aca="false">Summary!$B$5+IF(D206=1,0,IF(C206=1,Summary!$B$6,NA()))+(MATCH(1,E206:L206,0)-1)*Summary!$B$7+(MATCH(1,M206:T206,0)-1)*Summary!$B$8+(MATCH(1,U206:AB206,0)-1)*Summary!$B$9</f>
        <v>55.375</v>
      </c>
      <c r="C206" s="35" t="n">
        <v>0</v>
      </c>
      <c r="D206" s="35" t="n">
        <v>1</v>
      </c>
      <c r="E206" s="35" t="n">
        <v>0</v>
      </c>
      <c r="F206" s="35" t="n">
        <v>0</v>
      </c>
      <c r="G206" s="35" t="n">
        <v>0</v>
      </c>
      <c r="H206" s="35" t="n">
        <v>1</v>
      </c>
      <c r="I206" s="35" t="n">
        <v>0</v>
      </c>
      <c r="J206" s="35" t="n">
        <v>0</v>
      </c>
      <c r="K206" s="35" t="n">
        <v>0</v>
      </c>
      <c r="L206" s="35" t="n">
        <v>0</v>
      </c>
      <c r="M206" s="35" t="n">
        <v>0</v>
      </c>
      <c r="N206" s="35" t="n">
        <v>1</v>
      </c>
      <c r="O206" s="35" t="n">
        <v>0</v>
      </c>
      <c r="P206" s="35" t="n">
        <v>0</v>
      </c>
      <c r="Q206" s="35" t="n">
        <v>0</v>
      </c>
      <c r="R206" s="35" t="n">
        <v>0</v>
      </c>
      <c r="S206" s="35" t="n">
        <v>0</v>
      </c>
      <c r="T206" s="35" t="n">
        <v>0</v>
      </c>
      <c r="U206" s="35" t="n">
        <v>0</v>
      </c>
      <c r="V206" s="35" t="n">
        <v>0</v>
      </c>
      <c r="W206" s="35" t="n">
        <v>0</v>
      </c>
      <c r="X206" s="35" t="n">
        <v>1</v>
      </c>
      <c r="Y206" s="35" t="n">
        <v>0</v>
      </c>
      <c r="Z206" s="35" t="n">
        <v>0</v>
      </c>
      <c r="AA206" s="35" t="n">
        <v>0</v>
      </c>
      <c r="AB206" s="35" t="n">
        <v>0</v>
      </c>
      <c r="AC206" s="33" t="s">
        <v>307</v>
      </c>
      <c r="AD206" s="36" t="n">
        <f aca="false">B206-B205</f>
        <v>0.125</v>
      </c>
    </row>
    <row r="207" customFormat="false" ht="15" hidden="false" customHeight="false" outlineLevel="0" collapsed="false">
      <c r="A207" s="30" t="n">
        <v>204</v>
      </c>
      <c r="B207" s="31" t="n">
        <f aca="false">Summary!$B$5+IF(D207=1,0,IF(C207=1,Summary!$B$6,NA()))+(MATCH(1,E207:L207,0)-1)*Summary!$B$7+(MATCH(1,M207:T207,0)-1)*Summary!$B$8+(MATCH(1,U207:AB207,0)-1)*Summary!$B$9</f>
        <v>55.5</v>
      </c>
      <c r="C207" s="32" t="n">
        <v>0</v>
      </c>
      <c r="D207" s="32" t="n">
        <v>1</v>
      </c>
      <c r="E207" s="32" t="n">
        <v>0</v>
      </c>
      <c r="F207" s="32" t="n">
        <v>0</v>
      </c>
      <c r="G207" s="32" t="n">
        <v>0</v>
      </c>
      <c r="H207" s="32" t="n">
        <v>1</v>
      </c>
      <c r="I207" s="32" t="n">
        <v>0</v>
      </c>
      <c r="J207" s="32" t="n">
        <v>0</v>
      </c>
      <c r="K207" s="32" t="n">
        <v>0</v>
      </c>
      <c r="L207" s="32" t="n">
        <v>0</v>
      </c>
      <c r="M207" s="32" t="n">
        <v>0</v>
      </c>
      <c r="N207" s="32" t="n">
        <v>1</v>
      </c>
      <c r="O207" s="32" t="n">
        <v>0</v>
      </c>
      <c r="P207" s="32" t="n">
        <v>0</v>
      </c>
      <c r="Q207" s="32" t="n">
        <v>0</v>
      </c>
      <c r="R207" s="32" t="n">
        <v>0</v>
      </c>
      <c r="S207" s="32" t="n">
        <v>0</v>
      </c>
      <c r="T207" s="32" t="n">
        <v>0</v>
      </c>
      <c r="U207" s="32" t="n">
        <v>0</v>
      </c>
      <c r="V207" s="32" t="n">
        <v>0</v>
      </c>
      <c r="W207" s="32" t="n">
        <v>0</v>
      </c>
      <c r="X207" s="32" t="n">
        <v>0</v>
      </c>
      <c r="Y207" s="32" t="n">
        <v>1</v>
      </c>
      <c r="Z207" s="32" t="n">
        <v>0</v>
      </c>
      <c r="AA207" s="32" t="n">
        <v>0</v>
      </c>
      <c r="AB207" s="32" t="n">
        <v>0</v>
      </c>
      <c r="AC207" s="30" t="s">
        <v>308</v>
      </c>
      <c r="AD207" s="37" t="n">
        <f aca="false">B207-B206</f>
        <v>0.125</v>
      </c>
    </row>
    <row r="208" customFormat="false" ht="15" hidden="false" customHeight="false" outlineLevel="0" collapsed="false">
      <c r="A208" s="33" t="n">
        <v>205</v>
      </c>
      <c r="B208" s="34" t="n">
        <f aca="false">Summary!$B$5+IF(D208=1,0,IF(C208=1,Summary!$B$6,NA()))+(MATCH(1,E208:L208,0)-1)*Summary!$B$7+(MATCH(1,M208:T208,0)-1)*Summary!$B$8+(MATCH(1,U208:AB208,0)-1)*Summary!$B$9</f>
        <v>55.625</v>
      </c>
      <c r="C208" s="35" t="n">
        <v>0</v>
      </c>
      <c r="D208" s="35" t="n">
        <v>1</v>
      </c>
      <c r="E208" s="35" t="n">
        <v>0</v>
      </c>
      <c r="F208" s="35" t="n">
        <v>0</v>
      </c>
      <c r="G208" s="35" t="n">
        <v>0</v>
      </c>
      <c r="H208" s="35" t="n">
        <v>1</v>
      </c>
      <c r="I208" s="35" t="n">
        <v>0</v>
      </c>
      <c r="J208" s="35" t="n">
        <v>0</v>
      </c>
      <c r="K208" s="35" t="n">
        <v>0</v>
      </c>
      <c r="L208" s="35" t="n">
        <v>0</v>
      </c>
      <c r="M208" s="35" t="n">
        <v>0</v>
      </c>
      <c r="N208" s="35" t="n">
        <v>1</v>
      </c>
      <c r="O208" s="35" t="n">
        <v>0</v>
      </c>
      <c r="P208" s="35" t="n">
        <v>0</v>
      </c>
      <c r="Q208" s="35" t="n">
        <v>0</v>
      </c>
      <c r="R208" s="35" t="n">
        <v>0</v>
      </c>
      <c r="S208" s="35" t="n">
        <v>0</v>
      </c>
      <c r="T208" s="35" t="n">
        <v>0</v>
      </c>
      <c r="U208" s="35" t="n">
        <v>0</v>
      </c>
      <c r="V208" s="35" t="n">
        <v>0</v>
      </c>
      <c r="W208" s="35" t="n">
        <v>0</v>
      </c>
      <c r="X208" s="35" t="n">
        <v>0</v>
      </c>
      <c r="Y208" s="35" t="n">
        <v>0</v>
      </c>
      <c r="Z208" s="35" t="n">
        <v>1</v>
      </c>
      <c r="AA208" s="35" t="n">
        <v>0</v>
      </c>
      <c r="AB208" s="35" t="n">
        <v>0</v>
      </c>
      <c r="AC208" s="33" t="s">
        <v>309</v>
      </c>
      <c r="AD208" s="36" t="n">
        <f aca="false">B208-B207</f>
        <v>0.125</v>
      </c>
    </row>
    <row r="209" customFormat="false" ht="15" hidden="false" customHeight="false" outlineLevel="0" collapsed="false">
      <c r="A209" s="30" t="n">
        <v>206</v>
      </c>
      <c r="B209" s="31" t="n">
        <f aca="false">Summary!$B$5+IF(D209=1,0,IF(C209=1,Summary!$B$6,NA()))+(MATCH(1,E209:L209,0)-1)*Summary!$B$7+(MATCH(1,M209:T209,0)-1)*Summary!$B$8+(MATCH(1,U209:AB209,0)-1)*Summary!$B$9</f>
        <v>55.75</v>
      </c>
      <c r="C209" s="32" t="n">
        <v>0</v>
      </c>
      <c r="D209" s="32" t="n">
        <v>1</v>
      </c>
      <c r="E209" s="32" t="n">
        <v>0</v>
      </c>
      <c r="F209" s="32" t="n">
        <v>0</v>
      </c>
      <c r="G209" s="32" t="n">
        <v>0</v>
      </c>
      <c r="H209" s="32" t="n">
        <v>1</v>
      </c>
      <c r="I209" s="32" t="n">
        <v>0</v>
      </c>
      <c r="J209" s="32" t="n">
        <v>0</v>
      </c>
      <c r="K209" s="32" t="n">
        <v>0</v>
      </c>
      <c r="L209" s="32" t="n">
        <v>0</v>
      </c>
      <c r="M209" s="32" t="n">
        <v>0</v>
      </c>
      <c r="N209" s="32" t="n">
        <v>1</v>
      </c>
      <c r="O209" s="32" t="n">
        <v>0</v>
      </c>
      <c r="P209" s="32" t="n">
        <v>0</v>
      </c>
      <c r="Q209" s="32" t="n">
        <v>0</v>
      </c>
      <c r="R209" s="32" t="n">
        <v>0</v>
      </c>
      <c r="S209" s="32" t="n">
        <v>0</v>
      </c>
      <c r="T209" s="32" t="n">
        <v>0</v>
      </c>
      <c r="U209" s="32" t="n">
        <v>0</v>
      </c>
      <c r="V209" s="32" t="n">
        <v>0</v>
      </c>
      <c r="W209" s="32" t="n">
        <v>0</v>
      </c>
      <c r="X209" s="32" t="n">
        <v>0</v>
      </c>
      <c r="Y209" s="32" t="n">
        <v>0</v>
      </c>
      <c r="Z209" s="32" t="n">
        <v>0</v>
      </c>
      <c r="AA209" s="32" t="n">
        <v>1</v>
      </c>
      <c r="AB209" s="32" t="n">
        <v>0</v>
      </c>
      <c r="AC209" s="30" t="s">
        <v>310</v>
      </c>
      <c r="AD209" s="37" t="n">
        <f aca="false">B209-B208</f>
        <v>0.125</v>
      </c>
    </row>
    <row r="210" customFormat="false" ht="15" hidden="false" customHeight="false" outlineLevel="0" collapsed="false">
      <c r="A210" s="33" t="n">
        <v>207</v>
      </c>
      <c r="B210" s="34" t="n">
        <f aca="false">Summary!$B$5+IF(D210=1,0,IF(C210=1,Summary!$B$6,NA()))+(MATCH(1,E210:L210,0)-1)*Summary!$B$7+(MATCH(1,M210:T210,0)-1)*Summary!$B$8+(MATCH(1,U210:AB210,0)-1)*Summary!$B$9</f>
        <v>55.875</v>
      </c>
      <c r="C210" s="35" t="n">
        <v>0</v>
      </c>
      <c r="D210" s="35" t="n">
        <v>1</v>
      </c>
      <c r="E210" s="35" t="n">
        <v>0</v>
      </c>
      <c r="F210" s="35" t="n">
        <v>0</v>
      </c>
      <c r="G210" s="35" t="n">
        <v>0</v>
      </c>
      <c r="H210" s="35" t="n">
        <v>1</v>
      </c>
      <c r="I210" s="35" t="n">
        <v>0</v>
      </c>
      <c r="J210" s="35" t="n">
        <v>0</v>
      </c>
      <c r="K210" s="35" t="n">
        <v>0</v>
      </c>
      <c r="L210" s="35" t="n">
        <v>0</v>
      </c>
      <c r="M210" s="35" t="n">
        <v>0</v>
      </c>
      <c r="N210" s="35" t="n">
        <v>1</v>
      </c>
      <c r="O210" s="35" t="n">
        <v>0</v>
      </c>
      <c r="P210" s="35" t="n">
        <v>0</v>
      </c>
      <c r="Q210" s="35" t="n">
        <v>0</v>
      </c>
      <c r="R210" s="35" t="n">
        <v>0</v>
      </c>
      <c r="S210" s="35" t="n">
        <v>0</v>
      </c>
      <c r="T210" s="35" t="n">
        <v>0</v>
      </c>
      <c r="U210" s="35" t="n">
        <v>0</v>
      </c>
      <c r="V210" s="35" t="n">
        <v>0</v>
      </c>
      <c r="W210" s="35" t="n">
        <v>0</v>
      </c>
      <c r="X210" s="35" t="n">
        <v>0</v>
      </c>
      <c r="Y210" s="35" t="n">
        <v>0</v>
      </c>
      <c r="Z210" s="35" t="n">
        <v>0</v>
      </c>
      <c r="AA210" s="35" t="n">
        <v>0</v>
      </c>
      <c r="AB210" s="35" t="n">
        <v>1</v>
      </c>
      <c r="AC210" s="33" t="s">
        <v>311</v>
      </c>
      <c r="AD210" s="36" t="n">
        <f aca="false">B210-B209</f>
        <v>0.125</v>
      </c>
    </row>
    <row r="211" customFormat="false" ht="15" hidden="false" customHeight="false" outlineLevel="0" collapsed="false">
      <c r="A211" s="30" t="n">
        <v>208</v>
      </c>
      <c r="B211" s="31" t="n">
        <f aca="false">Summary!$B$5+IF(D211=1,0,IF(C211=1,Summary!$B$6,NA()))+(MATCH(1,E211:L211,0)-1)*Summary!$B$7+(MATCH(1,M211:T211,0)-1)*Summary!$B$8+(MATCH(1,U211:AB211,0)-1)*Summary!$B$9</f>
        <v>56</v>
      </c>
      <c r="C211" s="32" t="n">
        <v>0</v>
      </c>
      <c r="D211" s="32" t="n">
        <v>1</v>
      </c>
      <c r="E211" s="32" t="n">
        <v>0</v>
      </c>
      <c r="F211" s="32" t="n">
        <v>0</v>
      </c>
      <c r="G211" s="32" t="n">
        <v>0</v>
      </c>
      <c r="H211" s="32" t="n">
        <v>1</v>
      </c>
      <c r="I211" s="32" t="n">
        <v>0</v>
      </c>
      <c r="J211" s="32" t="n">
        <v>0</v>
      </c>
      <c r="K211" s="32" t="n">
        <v>0</v>
      </c>
      <c r="L211" s="32" t="n">
        <v>0</v>
      </c>
      <c r="M211" s="32" t="n">
        <v>0</v>
      </c>
      <c r="N211" s="32" t="n">
        <v>0</v>
      </c>
      <c r="O211" s="32" t="n">
        <v>1</v>
      </c>
      <c r="P211" s="32" t="n">
        <v>0</v>
      </c>
      <c r="Q211" s="32" t="n">
        <v>0</v>
      </c>
      <c r="R211" s="32" t="n">
        <v>0</v>
      </c>
      <c r="S211" s="32" t="n">
        <v>0</v>
      </c>
      <c r="T211" s="32" t="n">
        <v>0</v>
      </c>
      <c r="U211" s="32" t="n">
        <v>1</v>
      </c>
      <c r="V211" s="32" t="n">
        <v>0</v>
      </c>
      <c r="W211" s="32" t="n">
        <v>0</v>
      </c>
      <c r="X211" s="32" t="n">
        <v>0</v>
      </c>
      <c r="Y211" s="32" t="n">
        <v>0</v>
      </c>
      <c r="Z211" s="32" t="n">
        <v>0</v>
      </c>
      <c r="AA211" s="32" t="n">
        <v>0</v>
      </c>
      <c r="AB211" s="32" t="n">
        <v>0</v>
      </c>
      <c r="AC211" s="30" t="s">
        <v>312</v>
      </c>
      <c r="AD211" s="37" t="n">
        <f aca="false">B211-B210</f>
        <v>0.125</v>
      </c>
    </row>
    <row r="212" customFormat="false" ht="15" hidden="false" customHeight="false" outlineLevel="0" collapsed="false">
      <c r="A212" s="33" t="n">
        <v>209</v>
      </c>
      <c r="B212" s="34" t="n">
        <f aca="false">Summary!$B$5+IF(D212=1,0,IF(C212=1,Summary!$B$6,NA()))+(MATCH(1,E212:L212,0)-1)*Summary!$B$7+(MATCH(1,M212:T212,0)-1)*Summary!$B$8+(MATCH(1,U212:AB212,0)-1)*Summary!$B$9</f>
        <v>56.125</v>
      </c>
      <c r="C212" s="35" t="n">
        <v>0</v>
      </c>
      <c r="D212" s="35" t="n">
        <v>1</v>
      </c>
      <c r="E212" s="35" t="n">
        <v>0</v>
      </c>
      <c r="F212" s="35" t="n">
        <v>0</v>
      </c>
      <c r="G212" s="35" t="n">
        <v>0</v>
      </c>
      <c r="H212" s="35" t="n">
        <v>1</v>
      </c>
      <c r="I212" s="35" t="n">
        <v>0</v>
      </c>
      <c r="J212" s="35" t="n">
        <v>0</v>
      </c>
      <c r="K212" s="35" t="n">
        <v>0</v>
      </c>
      <c r="L212" s="35" t="n">
        <v>0</v>
      </c>
      <c r="M212" s="35" t="n">
        <v>0</v>
      </c>
      <c r="N212" s="35" t="n">
        <v>0</v>
      </c>
      <c r="O212" s="35" t="n">
        <v>1</v>
      </c>
      <c r="P212" s="35" t="n">
        <v>0</v>
      </c>
      <c r="Q212" s="35" t="n">
        <v>0</v>
      </c>
      <c r="R212" s="35" t="n">
        <v>0</v>
      </c>
      <c r="S212" s="35" t="n">
        <v>0</v>
      </c>
      <c r="T212" s="35" t="n">
        <v>0</v>
      </c>
      <c r="U212" s="35" t="n">
        <v>0</v>
      </c>
      <c r="V212" s="35" t="n">
        <v>1</v>
      </c>
      <c r="W212" s="35" t="n">
        <v>0</v>
      </c>
      <c r="X212" s="35" t="n">
        <v>0</v>
      </c>
      <c r="Y212" s="35" t="n">
        <v>0</v>
      </c>
      <c r="Z212" s="35" t="n">
        <v>0</v>
      </c>
      <c r="AA212" s="35" t="n">
        <v>0</v>
      </c>
      <c r="AB212" s="35" t="n">
        <v>0</v>
      </c>
      <c r="AC212" s="33" t="s">
        <v>313</v>
      </c>
      <c r="AD212" s="36" t="n">
        <f aca="false">B212-B211</f>
        <v>0.125</v>
      </c>
    </row>
    <row r="213" customFormat="false" ht="15" hidden="false" customHeight="false" outlineLevel="0" collapsed="false">
      <c r="A213" s="30" t="n">
        <v>210</v>
      </c>
      <c r="B213" s="31" t="n">
        <f aca="false">Summary!$B$5+IF(D213=1,0,IF(C213=1,Summary!$B$6,NA()))+(MATCH(1,E213:L213,0)-1)*Summary!$B$7+(MATCH(1,M213:T213,0)-1)*Summary!$B$8+(MATCH(1,U213:AB213,0)-1)*Summary!$B$9</f>
        <v>56.25</v>
      </c>
      <c r="C213" s="32" t="n">
        <v>0</v>
      </c>
      <c r="D213" s="32" t="n">
        <v>1</v>
      </c>
      <c r="E213" s="32" t="n">
        <v>0</v>
      </c>
      <c r="F213" s="32" t="n">
        <v>0</v>
      </c>
      <c r="G213" s="32" t="n">
        <v>0</v>
      </c>
      <c r="H213" s="32" t="n">
        <v>1</v>
      </c>
      <c r="I213" s="32" t="n">
        <v>0</v>
      </c>
      <c r="J213" s="32" t="n">
        <v>0</v>
      </c>
      <c r="K213" s="32" t="n">
        <v>0</v>
      </c>
      <c r="L213" s="32" t="n">
        <v>0</v>
      </c>
      <c r="M213" s="32" t="n">
        <v>0</v>
      </c>
      <c r="N213" s="32" t="n">
        <v>0</v>
      </c>
      <c r="O213" s="32" t="n">
        <v>1</v>
      </c>
      <c r="P213" s="32" t="n">
        <v>0</v>
      </c>
      <c r="Q213" s="32" t="n">
        <v>0</v>
      </c>
      <c r="R213" s="32" t="n">
        <v>0</v>
      </c>
      <c r="S213" s="32" t="n">
        <v>0</v>
      </c>
      <c r="T213" s="32" t="n">
        <v>0</v>
      </c>
      <c r="U213" s="32" t="n">
        <v>0</v>
      </c>
      <c r="V213" s="32" t="n">
        <v>0</v>
      </c>
      <c r="W213" s="32" t="n">
        <v>1</v>
      </c>
      <c r="X213" s="32" t="n">
        <v>0</v>
      </c>
      <c r="Y213" s="32" t="n">
        <v>0</v>
      </c>
      <c r="Z213" s="32" t="n">
        <v>0</v>
      </c>
      <c r="AA213" s="32" t="n">
        <v>0</v>
      </c>
      <c r="AB213" s="32" t="n">
        <v>0</v>
      </c>
      <c r="AC213" s="30" t="s">
        <v>314</v>
      </c>
      <c r="AD213" s="37" t="n">
        <f aca="false">B213-B212</f>
        <v>0.125</v>
      </c>
    </row>
    <row r="214" customFormat="false" ht="15" hidden="false" customHeight="false" outlineLevel="0" collapsed="false">
      <c r="A214" s="33" t="n">
        <v>211</v>
      </c>
      <c r="B214" s="34" t="n">
        <f aca="false">Summary!$B$5+IF(D214=1,0,IF(C214=1,Summary!$B$6,NA()))+(MATCH(1,E214:L214,0)-1)*Summary!$B$7+(MATCH(1,M214:T214,0)-1)*Summary!$B$8+(MATCH(1,U214:AB214,0)-1)*Summary!$B$9</f>
        <v>56.375</v>
      </c>
      <c r="C214" s="35" t="n">
        <v>0</v>
      </c>
      <c r="D214" s="35" t="n">
        <v>1</v>
      </c>
      <c r="E214" s="35" t="n">
        <v>0</v>
      </c>
      <c r="F214" s="35" t="n">
        <v>0</v>
      </c>
      <c r="G214" s="35" t="n">
        <v>0</v>
      </c>
      <c r="H214" s="35" t="n">
        <v>1</v>
      </c>
      <c r="I214" s="35" t="n">
        <v>0</v>
      </c>
      <c r="J214" s="35" t="n">
        <v>0</v>
      </c>
      <c r="K214" s="35" t="n">
        <v>0</v>
      </c>
      <c r="L214" s="35" t="n">
        <v>0</v>
      </c>
      <c r="M214" s="35" t="n">
        <v>0</v>
      </c>
      <c r="N214" s="35" t="n">
        <v>0</v>
      </c>
      <c r="O214" s="35" t="n">
        <v>1</v>
      </c>
      <c r="P214" s="35" t="n">
        <v>0</v>
      </c>
      <c r="Q214" s="35" t="n">
        <v>0</v>
      </c>
      <c r="R214" s="35" t="n">
        <v>0</v>
      </c>
      <c r="S214" s="35" t="n">
        <v>0</v>
      </c>
      <c r="T214" s="35" t="n">
        <v>0</v>
      </c>
      <c r="U214" s="35" t="n">
        <v>0</v>
      </c>
      <c r="V214" s="35" t="n">
        <v>0</v>
      </c>
      <c r="W214" s="35" t="n">
        <v>0</v>
      </c>
      <c r="X214" s="35" t="n">
        <v>1</v>
      </c>
      <c r="Y214" s="35" t="n">
        <v>0</v>
      </c>
      <c r="Z214" s="35" t="n">
        <v>0</v>
      </c>
      <c r="AA214" s="35" t="n">
        <v>0</v>
      </c>
      <c r="AB214" s="35" t="n">
        <v>0</v>
      </c>
      <c r="AC214" s="33" t="s">
        <v>315</v>
      </c>
      <c r="AD214" s="36" t="n">
        <f aca="false">B214-B213</f>
        <v>0.125</v>
      </c>
    </row>
    <row r="215" customFormat="false" ht="15" hidden="false" customHeight="false" outlineLevel="0" collapsed="false">
      <c r="A215" s="30" t="n">
        <v>212</v>
      </c>
      <c r="B215" s="31" t="n">
        <f aca="false">Summary!$B$5+IF(D215=1,0,IF(C215=1,Summary!$B$6,NA()))+(MATCH(1,E215:L215,0)-1)*Summary!$B$7+(MATCH(1,M215:T215,0)-1)*Summary!$B$8+(MATCH(1,U215:AB215,0)-1)*Summary!$B$9</f>
        <v>56.5</v>
      </c>
      <c r="C215" s="32" t="n">
        <v>0</v>
      </c>
      <c r="D215" s="32" t="n">
        <v>1</v>
      </c>
      <c r="E215" s="32" t="n">
        <v>0</v>
      </c>
      <c r="F215" s="32" t="n">
        <v>0</v>
      </c>
      <c r="G215" s="32" t="n">
        <v>0</v>
      </c>
      <c r="H215" s="32" t="n">
        <v>1</v>
      </c>
      <c r="I215" s="32" t="n">
        <v>0</v>
      </c>
      <c r="J215" s="32" t="n">
        <v>0</v>
      </c>
      <c r="K215" s="32" t="n">
        <v>0</v>
      </c>
      <c r="L215" s="32" t="n">
        <v>0</v>
      </c>
      <c r="M215" s="32" t="n">
        <v>0</v>
      </c>
      <c r="N215" s="32" t="n">
        <v>0</v>
      </c>
      <c r="O215" s="32" t="n">
        <v>1</v>
      </c>
      <c r="P215" s="32" t="n">
        <v>0</v>
      </c>
      <c r="Q215" s="32" t="n">
        <v>0</v>
      </c>
      <c r="R215" s="32" t="n">
        <v>0</v>
      </c>
      <c r="S215" s="32" t="n">
        <v>0</v>
      </c>
      <c r="T215" s="32" t="n">
        <v>0</v>
      </c>
      <c r="U215" s="32" t="n">
        <v>0</v>
      </c>
      <c r="V215" s="32" t="n">
        <v>0</v>
      </c>
      <c r="W215" s="32" t="n">
        <v>0</v>
      </c>
      <c r="X215" s="32" t="n">
        <v>0</v>
      </c>
      <c r="Y215" s="32" t="n">
        <v>1</v>
      </c>
      <c r="Z215" s="32" t="n">
        <v>0</v>
      </c>
      <c r="AA215" s="32" t="n">
        <v>0</v>
      </c>
      <c r="AB215" s="32" t="n">
        <v>0</v>
      </c>
      <c r="AC215" s="30" t="s">
        <v>316</v>
      </c>
      <c r="AD215" s="37" t="n">
        <f aca="false">B215-B214</f>
        <v>0.125</v>
      </c>
    </row>
    <row r="216" customFormat="false" ht="15" hidden="false" customHeight="false" outlineLevel="0" collapsed="false">
      <c r="A216" s="33" t="n">
        <v>213</v>
      </c>
      <c r="B216" s="34" t="n">
        <f aca="false">Summary!$B$5+IF(D216=1,0,IF(C216=1,Summary!$B$6,NA()))+(MATCH(1,E216:L216,0)-1)*Summary!$B$7+(MATCH(1,M216:T216,0)-1)*Summary!$B$8+(MATCH(1,U216:AB216,0)-1)*Summary!$B$9</f>
        <v>56.625</v>
      </c>
      <c r="C216" s="35" t="n">
        <v>0</v>
      </c>
      <c r="D216" s="35" t="n">
        <v>1</v>
      </c>
      <c r="E216" s="35" t="n">
        <v>0</v>
      </c>
      <c r="F216" s="35" t="n">
        <v>0</v>
      </c>
      <c r="G216" s="35" t="n">
        <v>0</v>
      </c>
      <c r="H216" s="35" t="n">
        <v>1</v>
      </c>
      <c r="I216" s="35" t="n">
        <v>0</v>
      </c>
      <c r="J216" s="35" t="n">
        <v>0</v>
      </c>
      <c r="K216" s="35" t="n">
        <v>0</v>
      </c>
      <c r="L216" s="35" t="n">
        <v>0</v>
      </c>
      <c r="M216" s="35" t="n">
        <v>0</v>
      </c>
      <c r="N216" s="35" t="n">
        <v>0</v>
      </c>
      <c r="O216" s="35" t="n">
        <v>1</v>
      </c>
      <c r="P216" s="35" t="n">
        <v>0</v>
      </c>
      <c r="Q216" s="35" t="n">
        <v>0</v>
      </c>
      <c r="R216" s="35" t="n">
        <v>0</v>
      </c>
      <c r="S216" s="35" t="n">
        <v>0</v>
      </c>
      <c r="T216" s="35" t="n">
        <v>0</v>
      </c>
      <c r="U216" s="35" t="n">
        <v>0</v>
      </c>
      <c r="V216" s="35" t="n">
        <v>0</v>
      </c>
      <c r="W216" s="35" t="n">
        <v>0</v>
      </c>
      <c r="X216" s="35" t="n">
        <v>0</v>
      </c>
      <c r="Y216" s="35" t="n">
        <v>0</v>
      </c>
      <c r="Z216" s="35" t="n">
        <v>1</v>
      </c>
      <c r="AA216" s="35" t="n">
        <v>0</v>
      </c>
      <c r="AB216" s="35" t="n">
        <v>0</v>
      </c>
      <c r="AC216" s="33" t="s">
        <v>317</v>
      </c>
      <c r="AD216" s="36" t="n">
        <f aca="false">B216-B215</f>
        <v>0.125</v>
      </c>
    </row>
    <row r="217" customFormat="false" ht="15" hidden="false" customHeight="false" outlineLevel="0" collapsed="false">
      <c r="A217" s="30" t="n">
        <v>214</v>
      </c>
      <c r="B217" s="31" t="n">
        <f aca="false">Summary!$B$5+IF(D217=1,0,IF(C217=1,Summary!$B$6,NA()))+(MATCH(1,E217:L217,0)-1)*Summary!$B$7+(MATCH(1,M217:T217,0)-1)*Summary!$B$8+(MATCH(1,U217:AB217,0)-1)*Summary!$B$9</f>
        <v>56.75</v>
      </c>
      <c r="C217" s="32" t="n">
        <v>0</v>
      </c>
      <c r="D217" s="32" t="n">
        <v>1</v>
      </c>
      <c r="E217" s="32" t="n">
        <v>0</v>
      </c>
      <c r="F217" s="32" t="n">
        <v>0</v>
      </c>
      <c r="G217" s="32" t="n">
        <v>0</v>
      </c>
      <c r="H217" s="32" t="n">
        <v>1</v>
      </c>
      <c r="I217" s="32" t="n">
        <v>0</v>
      </c>
      <c r="J217" s="32" t="n">
        <v>0</v>
      </c>
      <c r="K217" s="32" t="n">
        <v>0</v>
      </c>
      <c r="L217" s="32" t="n">
        <v>0</v>
      </c>
      <c r="M217" s="32" t="n">
        <v>0</v>
      </c>
      <c r="N217" s="32" t="n">
        <v>0</v>
      </c>
      <c r="O217" s="32" t="n">
        <v>1</v>
      </c>
      <c r="P217" s="32" t="n">
        <v>0</v>
      </c>
      <c r="Q217" s="32" t="n">
        <v>0</v>
      </c>
      <c r="R217" s="32" t="n">
        <v>0</v>
      </c>
      <c r="S217" s="32" t="n">
        <v>0</v>
      </c>
      <c r="T217" s="32" t="n">
        <v>0</v>
      </c>
      <c r="U217" s="32" t="n">
        <v>0</v>
      </c>
      <c r="V217" s="32" t="n">
        <v>0</v>
      </c>
      <c r="W217" s="32" t="n">
        <v>0</v>
      </c>
      <c r="X217" s="32" t="n">
        <v>0</v>
      </c>
      <c r="Y217" s="32" t="n">
        <v>0</v>
      </c>
      <c r="Z217" s="32" t="n">
        <v>0</v>
      </c>
      <c r="AA217" s="32" t="n">
        <v>1</v>
      </c>
      <c r="AB217" s="32" t="n">
        <v>0</v>
      </c>
      <c r="AC217" s="30" t="s">
        <v>318</v>
      </c>
      <c r="AD217" s="37" t="n">
        <f aca="false">B217-B216</f>
        <v>0.125</v>
      </c>
    </row>
    <row r="218" customFormat="false" ht="15" hidden="false" customHeight="false" outlineLevel="0" collapsed="false">
      <c r="A218" s="33" t="n">
        <v>215</v>
      </c>
      <c r="B218" s="34" t="n">
        <f aca="false">Summary!$B$5+IF(D218=1,0,IF(C218=1,Summary!$B$6,NA()))+(MATCH(1,E218:L218,0)-1)*Summary!$B$7+(MATCH(1,M218:T218,0)-1)*Summary!$B$8+(MATCH(1,U218:AB218,0)-1)*Summary!$B$9</f>
        <v>56.875</v>
      </c>
      <c r="C218" s="35" t="n">
        <v>0</v>
      </c>
      <c r="D218" s="35" t="n">
        <v>1</v>
      </c>
      <c r="E218" s="35" t="n">
        <v>0</v>
      </c>
      <c r="F218" s="35" t="n">
        <v>0</v>
      </c>
      <c r="G218" s="35" t="n">
        <v>0</v>
      </c>
      <c r="H218" s="35" t="n">
        <v>1</v>
      </c>
      <c r="I218" s="35" t="n">
        <v>0</v>
      </c>
      <c r="J218" s="35" t="n">
        <v>0</v>
      </c>
      <c r="K218" s="35" t="n">
        <v>0</v>
      </c>
      <c r="L218" s="35" t="n">
        <v>0</v>
      </c>
      <c r="M218" s="35" t="n">
        <v>0</v>
      </c>
      <c r="N218" s="35" t="n">
        <v>0</v>
      </c>
      <c r="O218" s="35" t="n">
        <v>1</v>
      </c>
      <c r="P218" s="35" t="n">
        <v>0</v>
      </c>
      <c r="Q218" s="35" t="n">
        <v>0</v>
      </c>
      <c r="R218" s="35" t="n">
        <v>0</v>
      </c>
      <c r="S218" s="35" t="n">
        <v>0</v>
      </c>
      <c r="T218" s="35" t="n">
        <v>0</v>
      </c>
      <c r="U218" s="35" t="n">
        <v>0</v>
      </c>
      <c r="V218" s="35" t="n">
        <v>0</v>
      </c>
      <c r="W218" s="35" t="n">
        <v>0</v>
      </c>
      <c r="X218" s="35" t="n">
        <v>0</v>
      </c>
      <c r="Y218" s="35" t="n">
        <v>0</v>
      </c>
      <c r="Z218" s="35" t="n">
        <v>0</v>
      </c>
      <c r="AA218" s="35" t="n">
        <v>0</v>
      </c>
      <c r="AB218" s="35" t="n">
        <v>1</v>
      </c>
      <c r="AC218" s="33" t="s">
        <v>319</v>
      </c>
      <c r="AD218" s="36" t="n">
        <f aca="false">B218-B217</f>
        <v>0.125</v>
      </c>
    </row>
    <row r="219" customFormat="false" ht="15" hidden="false" customHeight="false" outlineLevel="0" collapsed="false">
      <c r="A219" s="30" t="n">
        <v>216</v>
      </c>
      <c r="B219" s="31" t="n">
        <f aca="false">Summary!$B$5+IF(D219=1,0,IF(C219=1,Summary!$B$6,NA()))+(MATCH(1,E219:L219,0)-1)*Summary!$B$7+(MATCH(1,M219:T219,0)-1)*Summary!$B$8+(MATCH(1,U219:AB219,0)-1)*Summary!$B$9</f>
        <v>57</v>
      </c>
      <c r="C219" s="32" t="n">
        <v>0</v>
      </c>
      <c r="D219" s="32" t="n">
        <v>1</v>
      </c>
      <c r="E219" s="32" t="n">
        <v>0</v>
      </c>
      <c r="F219" s="32" t="n">
        <v>0</v>
      </c>
      <c r="G219" s="32" t="n">
        <v>0</v>
      </c>
      <c r="H219" s="32" t="n">
        <v>1</v>
      </c>
      <c r="I219" s="32" t="n">
        <v>0</v>
      </c>
      <c r="J219" s="32" t="n">
        <v>0</v>
      </c>
      <c r="K219" s="32" t="n">
        <v>0</v>
      </c>
      <c r="L219" s="32" t="n">
        <v>0</v>
      </c>
      <c r="M219" s="32" t="n">
        <v>0</v>
      </c>
      <c r="N219" s="32" t="n">
        <v>0</v>
      </c>
      <c r="O219" s="32" t="n">
        <v>0</v>
      </c>
      <c r="P219" s="32" t="n">
        <v>1</v>
      </c>
      <c r="Q219" s="32" t="n">
        <v>0</v>
      </c>
      <c r="R219" s="32" t="n">
        <v>0</v>
      </c>
      <c r="S219" s="32" t="n">
        <v>0</v>
      </c>
      <c r="T219" s="32" t="n">
        <v>0</v>
      </c>
      <c r="U219" s="32" t="n">
        <v>1</v>
      </c>
      <c r="V219" s="32" t="n">
        <v>0</v>
      </c>
      <c r="W219" s="32" t="n">
        <v>0</v>
      </c>
      <c r="X219" s="32" t="n">
        <v>0</v>
      </c>
      <c r="Y219" s="32" t="n">
        <v>0</v>
      </c>
      <c r="Z219" s="32" t="n">
        <v>0</v>
      </c>
      <c r="AA219" s="32" t="n">
        <v>0</v>
      </c>
      <c r="AB219" s="32" t="n">
        <v>0</v>
      </c>
      <c r="AC219" s="30" t="s">
        <v>320</v>
      </c>
      <c r="AD219" s="37" t="n">
        <f aca="false">B219-B218</f>
        <v>0.125</v>
      </c>
    </row>
    <row r="220" customFormat="false" ht="15" hidden="false" customHeight="false" outlineLevel="0" collapsed="false">
      <c r="A220" s="33" t="n">
        <v>217</v>
      </c>
      <c r="B220" s="34" t="n">
        <f aca="false">Summary!$B$5+IF(D220=1,0,IF(C220=1,Summary!$B$6,NA()))+(MATCH(1,E220:L220,0)-1)*Summary!$B$7+(MATCH(1,M220:T220,0)-1)*Summary!$B$8+(MATCH(1,U220:AB220,0)-1)*Summary!$B$9</f>
        <v>57.125</v>
      </c>
      <c r="C220" s="35" t="n">
        <v>0</v>
      </c>
      <c r="D220" s="35" t="n">
        <v>1</v>
      </c>
      <c r="E220" s="35" t="n">
        <v>0</v>
      </c>
      <c r="F220" s="35" t="n">
        <v>0</v>
      </c>
      <c r="G220" s="35" t="n">
        <v>0</v>
      </c>
      <c r="H220" s="35" t="n">
        <v>1</v>
      </c>
      <c r="I220" s="35" t="n">
        <v>0</v>
      </c>
      <c r="J220" s="35" t="n">
        <v>0</v>
      </c>
      <c r="K220" s="35" t="n">
        <v>0</v>
      </c>
      <c r="L220" s="35" t="n">
        <v>0</v>
      </c>
      <c r="M220" s="35" t="n">
        <v>0</v>
      </c>
      <c r="N220" s="35" t="n">
        <v>0</v>
      </c>
      <c r="O220" s="35" t="n">
        <v>0</v>
      </c>
      <c r="P220" s="35" t="n">
        <v>1</v>
      </c>
      <c r="Q220" s="35" t="n">
        <v>0</v>
      </c>
      <c r="R220" s="35" t="n">
        <v>0</v>
      </c>
      <c r="S220" s="35" t="n">
        <v>0</v>
      </c>
      <c r="T220" s="35" t="n">
        <v>0</v>
      </c>
      <c r="U220" s="35" t="n">
        <v>0</v>
      </c>
      <c r="V220" s="35" t="n">
        <v>1</v>
      </c>
      <c r="W220" s="35" t="n">
        <v>0</v>
      </c>
      <c r="X220" s="35" t="n">
        <v>0</v>
      </c>
      <c r="Y220" s="35" t="n">
        <v>0</v>
      </c>
      <c r="Z220" s="35" t="n">
        <v>0</v>
      </c>
      <c r="AA220" s="35" t="n">
        <v>0</v>
      </c>
      <c r="AB220" s="35" t="n">
        <v>0</v>
      </c>
      <c r="AC220" s="33" t="s">
        <v>321</v>
      </c>
      <c r="AD220" s="36" t="n">
        <f aca="false">B220-B219</f>
        <v>0.125</v>
      </c>
    </row>
    <row r="221" customFormat="false" ht="15" hidden="false" customHeight="false" outlineLevel="0" collapsed="false">
      <c r="A221" s="30" t="n">
        <v>218</v>
      </c>
      <c r="B221" s="31" t="n">
        <f aca="false">Summary!$B$5+IF(D221=1,0,IF(C221=1,Summary!$B$6,NA()))+(MATCH(1,E221:L221,0)-1)*Summary!$B$7+(MATCH(1,M221:T221,0)-1)*Summary!$B$8+(MATCH(1,U221:AB221,0)-1)*Summary!$B$9</f>
        <v>57.25</v>
      </c>
      <c r="C221" s="32" t="n">
        <v>0</v>
      </c>
      <c r="D221" s="32" t="n">
        <v>1</v>
      </c>
      <c r="E221" s="32" t="n">
        <v>0</v>
      </c>
      <c r="F221" s="32" t="n">
        <v>0</v>
      </c>
      <c r="G221" s="32" t="n">
        <v>0</v>
      </c>
      <c r="H221" s="32" t="n">
        <v>1</v>
      </c>
      <c r="I221" s="32" t="n">
        <v>0</v>
      </c>
      <c r="J221" s="32" t="n">
        <v>0</v>
      </c>
      <c r="K221" s="32" t="n">
        <v>0</v>
      </c>
      <c r="L221" s="32" t="n">
        <v>0</v>
      </c>
      <c r="M221" s="32" t="n">
        <v>0</v>
      </c>
      <c r="N221" s="32" t="n">
        <v>0</v>
      </c>
      <c r="O221" s="32" t="n">
        <v>0</v>
      </c>
      <c r="P221" s="32" t="n">
        <v>1</v>
      </c>
      <c r="Q221" s="32" t="n">
        <v>0</v>
      </c>
      <c r="R221" s="32" t="n">
        <v>0</v>
      </c>
      <c r="S221" s="32" t="n">
        <v>0</v>
      </c>
      <c r="T221" s="32" t="n">
        <v>0</v>
      </c>
      <c r="U221" s="32" t="n">
        <v>0</v>
      </c>
      <c r="V221" s="32" t="n">
        <v>0</v>
      </c>
      <c r="W221" s="32" t="n">
        <v>1</v>
      </c>
      <c r="X221" s="32" t="n">
        <v>0</v>
      </c>
      <c r="Y221" s="32" t="n">
        <v>0</v>
      </c>
      <c r="Z221" s="32" t="n">
        <v>0</v>
      </c>
      <c r="AA221" s="32" t="n">
        <v>0</v>
      </c>
      <c r="AB221" s="32" t="n">
        <v>0</v>
      </c>
      <c r="AC221" s="30" t="s">
        <v>322</v>
      </c>
      <c r="AD221" s="37" t="n">
        <f aca="false">B221-B220</f>
        <v>0.125</v>
      </c>
    </row>
    <row r="222" customFormat="false" ht="15" hidden="false" customHeight="false" outlineLevel="0" collapsed="false">
      <c r="A222" s="33" t="n">
        <v>219</v>
      </c>
      <c r="B222" s="34" t="n">
        <f aca="false">Summary!$B$5+IF(D222=1,0,IF(C222=1,Summary!$B$6,NA()))+(MATCH(1,E222:L222,0)-1)*Summary!$B$7+(MATCH(1,M222:T222,0)-1)*Summary!$B$8+(MATCH(1,U222:AB222,0)-1)*Summary!$B$9</f>
        <v>57.375</v>
      </c>
      <c r="C222" s="35" t="n">
        <v>0</v>
      </c>
      <c r="D222" s="35" t="n">
        <v>1</v>
      </c>
      <c r="E222" s="35" t="n">
        <v>0</v>
      </c>
      <c r="F222" s="35" t="n">
        <v>0</v>
      </c>
      <c r="G222" s="35" t="n">
        <v>0</v>
      </c>
      <c r="H222" s="35" t="n">
        <v>1</v>
      </c>
      <c r="I222" s="35" t="n">
        <v>0</v>
      </c>
      <c r="J222" s="35" t="n">
        <v>0</v>
      </c>
      <c r="K222" s="35" t="n">
        <v>0</v>
      </c>
      <c r="L222" s="35" t="n">
        <v>0</v>
      </c>
      <c r="M222" s="35" t="n">
        <v>0</v>
      </c>
      <c r="N222" s="35" t="n">
        <v>0</v>
      </c>
      <c r="O222" s="35" t="n">
        <v>0</v>
      </c>
      <c r="P222" s="35" t="n">
        <v>1</v>
      </c>
      <c r="Q222" s="35" t="n">
        <v>0</v>
      </c>
      <c r="R222" s="35" t="n">
        <v>0</v>
      </c>
      <c r="S222" s="35" t="n">
        <v>0</v>
      </c>
      <c r="T222" s="35" t="n">
        <v>0</v>
      </c>
      <c r="U222" s="35" t="n">
        <v>0</v>
      </c>
      <c r="V222" s="35" t="n">
        <v>0</v>
      </c>
      <c r="W222" s="35" t="n">
        <v>0</v>
      </c>
      <c r="X222" s="35" t="n">
        <v>1</v>
      </c>
      <c r="Y222" s="35" t="n">
        <v>0</v>
      </c>
      <c r="Z222" s="35" t="n">
        <v>0</v>
      </c>
      <c r="AA222" s="35" t="n">
        <v>0</v>
      </c>
      <c r="AB222" s="35" t="n">
        <v>0</v>
      </c>
      <c r="AC222" s="33" t="s">
        <v>323</v>
      </c>
      <c r="AD222" s="36" t="n">
        <f aca="false">B222-B221</f>
        <v>0.125</v>
      </c>
    </row>
    <row r="223" customFormat="false" ht="15" hidden="false" customHeight="false" outlineLevel="0" collapsed="false">
      <c r="A223" s="30" t="n">
        <v>220</v>
      </c>
      <c r="B223" s="31" t="n">
        <f aca="false">Summary!$B$5+IF(D223=1,0,IF(C223=1,Summary!$B$6,NA()))+(MATCH(1,E223:L223,0)-1)*Summary!$B$7+(MATCH(1,M223:T223,0)-1)*Summary!$B$8+(MATCH(1,U223:AB223,0)-1)*Summary!$B$9</f>
        <v>57.5</v>
      </c>
      <c r="C223" s="32" t="n">
        <v>0</v>
      </c>
      <c r="D223" s="32" t="n">
        <v>1</v>
      </c>
      <c r="E223" s="32" t="n">
        <v>0</v>
      </c>
      <c r="F223" s="32" t="n">
        <v>0</v>
      </c>
      <c r="G223" s="32" t="n">
        <v>0</v>
      </c>
      <c r="H223" s="32" t="n">
        <v>1</v>
      </c>
      <c r="I223" s="32" t="n">
        <v>0</v>
      </c>
      <c r="J223" s="32" t="n">
        <v>0</v>
      </c>
      <c r="K223" s="32" t="n">
        <v>0</v>
      </c>
      <c r="L223" s="32" t="n">
        <v>0</v>
      </c>
      <c r="M223" s="32" t="n">
        <v>0</v>
      </c>
      <c r="N223" s="32" t="n">
        <v>0</v>
      </c>
      <c r="O223" s="32" t="n">
        <v>0</v>
      </c>
      <c r="P223" s="32" t="n">
        <v>1</v>
      </c>
      <c r="Q223" s="32" t="n">
        <v>0</v>
      </c>
      <c r="R223" s="32" t="n">
        <v>0</v>
      </c>
      <c r="S223" s="32" t="n">
        <v>0</v>
      </c>
      <c r="T223" s="32" t="n">
        <v>0</v>
      </c>
      <c r="U223" s="32" t="n">
        <v>0</v>
      </c>
      <c r="V223" s="32" t="n">
        <v>0</v>
      </c>
      <c r="W223" s="32" t="n">
        <v>0</v>
      </c>
      <c r="X223" s="32" t="n">
        <v>0</v>
      </c>
      <c r="Y223" s="32" t="n">
        <v>1</v>
      </c>
      <c r="Z223" s="32" t="n">
        <v>0</v>
      </c>
      <c r="AA223" s="32" t="n">
        <v>0</v>
      </c>
      <c r="AB223" s="32" t="n">
        <v>0</v>
      </c>
      <c r="AC223" s="30" t="s">
        <v>324</v>
      </c>
      <c r="AD223" s="37" t="n">
        <f aca="false">B223-B222</f>
        <v>0.125</v>
      </c>
    </row>
    <row r="224" customFormat="false" ht="15" hidden="false" customHeight="false" outlineLevel="0" collapsed="false">
      <c r="A224" s="33" t="n">
        <v>221</v>
      </c>
      <c r="B224" s="34" t="n">
        <f aca="false">Summary!$B$5+IF(D224=1,0,IF(C224=1,Summary!$B$6,NA()))+(MATCH(1,E224:L224,0)-1)*Summary!$B$7+(MATCH(1,M224:T224,0)-1)*Summary!$B$8+(MATCH(1,U224:AB224,0)-1)*Summary!$B$9</f>
        <v>57.625</v>
      </c>
      <c r="C224" s="35" t="n">
        <v>0</v>
      </c>
      <c r="D224" s="35" t="n">
        <v>1</v>
      </c>
      <c r="E224" s="35" t="n">
        <v>0</v>
      </c>
      <c r="F224" s="35" t="n">
        <v>0</v>
      </c>
      <c r="G224" s="35" t="n">
        <v>0</v>
      </c>
      <c r="H224" s="35" t="n">
        <v>1</v>
      </c>
      <c r="I224" s="35" t="n">
        <v>0</v>
      </c>
      <c r="J224" s="35" t="n">
        <v>0</v>
      </c>
      <c r="K224" s="35" t="n">
        <v>0</v>
      </c>
      <c r="L224" s="35" t="n">
        <v>0</v>
      </c>
      <c r="M224" s="35" t="n">
        <v>0</v>
      </c>
      <c r="N224" s="35" t="n">
        <v>0</v>
      </c>
      <c r="O224" s="35" t="n">
        <v>0</v>
      </c>
      <c r="P224" s="35" t="n">
        <v>1</v>
      </c>
      <c r="Q224" s="35" t="n">
        <v>0</v>
      </c>
      <c r="R224" s="35" t="n">
        <v>0</v>
      </c>
      <c r="S224" s="35" t="n">
        <v>0</v>
      </c>
      <c r="T224" s="35" t="n">
        <v>0</v>
      </c>
      <c r="U224" s="35" t="n">
        <v>0</v>
      </c>
      <c r="V224" s="35" t="n">
        <v>0</v>
      </c>
      <c r="W224" s="35" t="n">
        <v>0</v>
      </c>
      <c r="X224" s="35" t="n">
        <v>0</v>
      </c>
      <c r="Y224" s="35" t="n">
        <v>0</v>
      </c>
      <c r="Z224" s="35" t="n">
        <v>1</v>
      </c>
      <c r="AA224" s="35" t="n">
        <v>0</v>
      </c>
      <c r="AB224" s="35" t="n">
        <v>0</v>
      </c>
      <c r="AC224" s="33" t="s">
        <v>325</v>
      </c>
      <c r="AD224" s="36" t="n">
        <f aca="false">B224-B223</f>
        <v>0.125</v>
      </c>
    </row>
    <row r="225" customFormat="false" ht="15" hidden="false" customHeight="false" outlineLevel="0" collapsed="false">
      <c r="A225" s="30" t="n">
        <v>222</v>
      </c>
      <c r="B225" s="31" t="n">
        <f aca="false">Summary!$B$5+IF(D225=1,0,IF(C225=1,Summary!$B$6,NA()))+(MATCH(1,E225:L225,0)-1)*Summary!$B$7+(MATCH(1,M225:T225,0)-1)*Summary!$B$8+(MATCH(1,U225:AB225,0)-1)*Summary!$B$9</f>
        <v>57.75</v>
      </c>
      <c r="C225" s="32" t="n">
        <v>0</v>
      </c>
      <c r="D225" s="32" t="n">
        <v>1</v>
      </c>
      <c r="E225" s="32" t="n">
        <v>0</v>
      </c>
      <c r="F225" s="32" t="n">
        <v>0</v>
      </c>
      <c r="G225" s="32" t="n">
        <v>0</v>
      </c>
      <c r="H225" s="32" t="n">
        <v>1</v>
      </c>
      <c r="I225" s="32" t="n">
        <v>0</v>
      </c>
      <c r="J225" s="32" t="n">
        <v>0</v>
      </c>
      <c r="K225" s="32" t="n">
        <v>0</v>
      </c>
      <c r="L225" s="32" t="n">
        <v>0</v>
      </c>
      <c r="M225" s="32" t="n">
        <v>0</v>
      </c>
      <c r="N225" s="32" t="n">
        <v>0</v>
      </c>
      <c r="O225" s="32" t="n">
        <v>0</v>
      </c>
      <c r="P225" s="32" t="n">
        <v>1</v>
      </c>
      <c r="Q225" s="32" t="n">
        <v>0</v>
      </c>
      <c r="R225" s="32" t="n">
        <v>0</v>
      </c>
      <c r="S225" s="32" t="n">
        <v>0</v>
      </c>
      <c r="T225" s="32" t="n">
        <v>0</v>
      </c>
      <c r="U225" s="32" t="n">
        <v>0</v>
      </c>
      <c r="V225" s="32" t="n">
        <v>0</v>
      </c>
      <c r="W225" s="32" t="n">
        <v>0</v>
      </c>
      <c r="X225" s="32" t="n">
        <v>0</v>
      </c>
      <c r="Y225" s="32" t="n">
        <v>0</v>
      </c>
      <c r="Z225" s="32" t="n">
        <v>0</v>
      </c>
      <c r="AA225" s="32" t="n">
        <v>1</v>
      </c>
      <c r="AB225" s="32" t="n">
        <v>0</v>
      </c>
      <c r="AC225" s="30" t="s">
        <v>326</v>
      </c>
      <c r="AD225" s="37" t="n">
        <f aca="false">B225-B224</f>
        <v>0.125</v>
      </c>
    </row>
    <row r="226" customFormat="false" ht="15" hidden="false" customHeight="false" outlineLevel="0" collapsed="false">
      <c r="A226" s="33" t="n">
        <v>223</v>
      </c>
      <c r="B226" s="34" t="n">
        <f aca="false">Summary!$B$5+IF(D226=1,0,IF(C226=1,Summary!$B$6,NA()))+(MATCH(1,E226:L226,0)-1)*Summary!$B$7+(MATCH(1,M226:T226,0)-1)*Summary!$B$8+(MATCH(1,U226:AB226,0)-1)*Summary!$B$9</f>
        <v>57.875</v>
      </c>
      <c r="C226" s="35" t="n">
        <v>0</v>
      </c>
      <c r="D226" s="35" t="n">
        <v>1</v>
      </c>
      <c r="E226" s="35" t="n">
        <v>0</v>
      </c>
      <c r="F226" s="35" t="n">
        <v>0</v>
      </c>
      <c r="G226" s="35" t="n">
        <v>0</v>
      </c>
      <c r="H226" s="35" t="n">
        <v>1</v>
      </c>
      <c r="I226" s="35" t="n">
        <v>0</v>
      </c>
      <c r="J226" s="35" t="n">
        <v>0</v>
      </c>
      <c r="K226" s="35" t="n">
        <v>0</v>
      </c>
      <c r="L226" s="35" t="n">
        <v>0</v>
      </c>
      <c r="M226" s="35" t="n">
        <v>0</v>
      </c>
      <c r="N226" s="35" t="n">
        <v>0</v>
      </c>
      <c r="O226" s="35" t="n">
        <v>0</v>
      </c>
      <c r="P226" s="35" t="n">
        <v>1</v>
      </c>
      <c r="Q226" s="35" t="n">
        <v>0</v>
      </c>
      <c r="R226" s="35" t="n">
        <v>0</v>
      </c>
      <c r="S226" s="35" t="n">
        <v>0</v>
      </c>
      <c r="T226" s="35" t="n">
        <v>0</v>
      </c>
      <c r="U226" s="35" t="n">
        <v>0</v>
      </c>
      <c r="V226" s="35" t="n">
        <v>0</v>
      </c>
      <c r="W226" s="35" t="n">
        <v>0</v>
      </c>
      <c r="X226" s="35" t="n">
        <v>0</v>
      </c>
      <c r="Y226" s="35" t="n">
        <v>0</v>
      </c>
      <c r="Z226" s="35" t="n">
        <v>0</v>
      </c>
      <c r="AA226" s="35" t="n">
        <v>0</v>
      </c>
      <c r="AB226" s="35" t="n">
        <v>1</v>
      </c>
      <c r="AC226" s="33" t="s">
        <v>327</v>
      </c>
      <c r="AD226" s="36" t="n">
        <f aca="false">B226-B225</f>
        <v>0.125</v>
      </c>
    </row>
    <row r="227" customFormat="false" ht="15" hidden="false" customHeight="false" outlineLevel="0" collapsed="false">
      <c r="A227" s="30" t="n">
        <v>224</v>
      </c>
      <c r="B227" s="31" t="n">
        <f aca="false">Summary!$B$5+IF(D227=1,0,IF(C227=1,Summary!$B$6,NA()))+(MATCH(1,E227:L227,0)-1)*Summary!$B$7+(MATCH(1,M227:T227,0)-1)*Summary!$B$8+(MATCH(1,U227:AB227,0)-1)*Summary!$B$9</f>
        <v>58</v>
      </c>
      <c r="C227" s="32" t="n">
        <v>0</v>
      </c>
      <c r="D227" s="32" t="n">
        <v>1</v>
      </c>
      <c r="E227" s="32" t="n">
        <v>0</v>
      </c>
      <c r="F227" s="32" t="n">
        <v>0</v>
      </c>
      <c r="G227" s="32" t="n">
        <v>0</v>
      </c>
      <c r="H227" s="32" t="n">
        <v>1</v>
      </c>
      <c r="I227" s="32" t="n">
        <v>0</v>
      </c>
      <c r="J227" s="32" t="n">
        <v>0</v>
      </c>
      <c r="K227" s="32" t="n">
        <v>0</v>
      </c>
      <c r="L227" s="32" t="n">
        <v>0</v>
      </c>
      <c r="M227" s="32" t="n">
        <v>0</v>
      </c>
      <c r="N227" s="32" t="n">
        <v>0</v>
      </c>
      <c r="O227" s="32" t="n">
        <v>0</v>
      </c>
      <c r="P227" s="32" t="n">
        <v>0</v>
      </c>
      <c r="Q227" s="32" t="n">
        <v>1</v>
      </c>
      <c r="R227" s="32" t="n">
        <v>0</v>
      </c>
      <c r="S227" s="32" t="n">
        <v>0</v>
      </c>
      <c r="T227" s="32" t="n">
        <v>0</v>
      </c>
      <c r="U227" s="32" t="n">
        <v>1</v>
      </c>
      <c r="V227" s="32" t="n">
        <v>0</v>
      </c>
      <c r="W227" s="32" t="n">
        <v>0</v>
      </c>
      <c r="X227" s="32" t="n">
        <v>0</v>
      </c>
      <c r="Y227" s="32" t="n">
        <v>0</v>
      </c>
      <c r="Z227" s="32" t="n">
        <v>0</v>
      </c>
      <c r="AA227" s="32" t="n">
        <v>0</v>
      </c>
      <c r="AB227" s="32" t="n">
        <v>0</v>
      </c>
      <c r="AC227" s="30" t="s">
        <v>328</v>
      </c>
      <c r="AD227" s="37" t="n">
        <f aca="false">B227-B226</f>
        <v>0.125</v>
      </c>
    </row>
    <row r="228" customFormat="false" ht="15" hidden="false" customHeight="false" outlineLevel="0" collapsed="false">
      <c r="A228" s="33" t="n">
        <v>225</v>
      </c>
      <c r="B228" s="34" t="n">
        <f aca="false">Summary!$B$5+IF(D228=1,0,IF(C228=1,Summary!$B$6,NA()))+(MATCH(1,E228:L228,0)-1)*Summary!$B$7+(MATCH(1,M228:T228,0)-1)*Summary!$B$8+(MATCH(1,U228:AB228,0)-1)*Summary!$B$9</f>
        <v>58.125</v>
      </c>
      <c r="C228" s="35" t="n">
        <v>0</v>
      </c>
      <c r="D228" s="35" t="n">
        <v>1</v>
      </c>
      <c r="E228" s="35" t="n">
        <v>0</v>
      </c>
      <c r="F228" s="35" t="n">
        <v>0</v>
      </c>
      <c r="G228" s="35" t="n">
        <v>0</v>
      </c>
      <c r="H228" s="35" t="n">
        <v>1</v>
      </c>
      <c r="I228" s="35" t="n">
        <v>0</v>
      </c>
      <c r="J228" s="35" t="n">
        <v>0</v>
      </c>
      <c r="K228" s="35" t="n">
        <v>0</v>
      </c>
      <c r="L228" s="35" t="n">
        <v>0</v>
      </c>
      <c r="M228" s="35" t="n">
        <v>0</v>
      </c>
      <c r="N228" s="35" t="n">
        <v>0</v>
      </c>
      <c r="O228" s="35" t="n">
        <v>0</v>
      </c>
      <c r="P228" s="35" t="n">
        <v>0</v>
      </c>
      <c r="Q228" s="35" t="n">
        <v>1</v>
      </c>
      <c r="R228" s="35" t="n">
        <v>0</v>
      </c>
      <c r="S228" s="35" t="n">
        <v>0</v>
      </c>
      <c r="T228" s="35" t="n">
        <v>0</v>
      </c>
      <c r="U228" s="35" t="n">
        <v>0</v>
      </c>
      <c r="V228" s="35" t="n">
        <v>1</v>
      </c>
      <c r="W228" s="35" t="n">
        <v>0</v>
      </c>
      <c r="X228" s="35" t="n">
        <v>0</v>
      </c>
      <c r="Y228" s="35" t="n">
        <v>0</v>
      </c>
      <c r="Z228" s="35" t="n">
        <v>0</v>
      </c>
      <c r="AA228" s="35" t="n">
        <v>0</v>
      </c>
      <c r="AB228" s="35" t="n">
        <v>0</v>
      </c>
      <c r="AC228" s="33" t="s">
        <v>329</v>
      </c>
      <c r="AD228" s="36" t="n">
        <f aca="false">B228-B227</f>
        <v>0.125</v>
      </c>
    </row>
    <row r="229" customFormat="false" ht="15" hidden="false" customHeight="false" outlineLevel="0" collapsed="false">
      <c r="A229" s="30" t="n">
        <v>226</v>
      </c>
      <c r="B229" s="31" t="n">
        <f aca="false">Summary!$B$5+IF(D229=1,0,IF(C229=1,Summary!$B$6,NA()))+(MATCH(1,E229:L229,0)-1)*Summary!$B$7+(MATCH(1,M229:T229,0)-1)*Summary!$B$8+(MATCH(1,U229:AB229,0)-1)*Summary!$B$9</f>
        <v>58.25</v>
      </c>
      <c r="C229" s="32" t="n">
        <v>0</v>
      </c>
      <c r="D229" s="32" t="n">
        <v>1</v>
      </c>
      <c r="E229" s="32" t="n">
        <v>0</v>
      </c>
      <c r="F229" s="32" t="n">
        <v>0</v>
      </c>
      <c r="G229" s="32" t="n">
        <v>0</v>
      </c>
      <c r="H229" s="32" t="n">
        <v>1</v>
      </c>
      <c r="I229" s="32" t="n">
        <v>0</v>
      </c>
      <c r="J229" s="32" t="n">
        <v>0</v>
      </c>
      <c r="K229" s="32" t="n">
        <v>0</v>
      </c>
      <c r="L229" s="32" t="n">
        <v>0</v>
      </c>
      <c r="M229" s="32" t="n">
        <v>0</v>
      </c>
      <c r="N229" s="32" t="n">
        <v>0</v>
      </c>
      <c r="O229" s="32" t="n">
        <v>0</v>
      </c>
      <c r="P229" s="32" t="n">
        <v>0</v>
      </c>
      <c r="Q229" s="32" t="n">
        <v>1</v>
      </c>
      <c r="R229" s="32" t="n">
        <v>0</v>
      </c>
      <c r="S229" s="32" t="n">
        <v>0</v>
      </c>
      <c r="T229" s="32" t="n">
        <v>0</v>
      </c>
      <c r="U229" s="32" t="n">
        <v>0</v>
      </c>
      <c r="V229" s="32" t="n">
        <v>0</v>
      </c>
      <c r="W229" s="32" t="n">
        <v>1</v>
      </c>
      <c r="X229" s="32" t="n">
        <v>0</v>
      </c>
      <c r="Y229" s="32" t="n">
        <v>0</v>
      </c>
      <c r="Z229" s="32" t="n">
        <v>0</v>
      </c>
      <c r="AA229" s="32" t="n">
        <v>0</v>
      </c>
      <c r="AB229" s="32" t="n">
        <v>0</v>
      </c>
      <c r="AC229" s="30" t="s">
        <v>330</v>
      </c>
      <c r="AD229" s="37" t="n">
        <f aca="false">B229-B228</f>
        <v>0.125</v>
      </c>
    </row>
    <row r="230" customFormat="false" ht="15" hidden="false" customHeight="false" outlineLevel="0" collapsed="false">
      <c r="A230" s="33" t="n">
        <v>227</v>
      </c>
      <c r="B230" s="34" t="n">
        <f aca="false">Summary!$B$5+IF(D230=1,0,IF(C230=1,Summary!$B$6,NA()))+(MATCH(1,E230:L230,0)-1)*Summary!$B$7+(MATCH(1,M230:T230,0)-1)*Summary!$B$8+(MATCH(1,U230:AB230,0)-1)*Summary!$B$9</f>
        <v>58.375</v>
      </c>
      <c r="C230" s="35" t="n">
        <v>0</v>
      </c>
      <c r="D230" s="35" t="n">
        <v>1</v>
      </c>
      <c r="E230" s="35" t="n">
        <v>0</v>
      </c>
      <c r="F230" s="35" t="n">
        <v>0</v>
      </c>
      <c r="G230" s="35" t="n">
        <v>0</v>
      </c>
      <c r="H230" s="35" t="n">
        <v>1</v>
      </c>
      <c r="I230" s="35" t="n">
        <v>0</v>
      </c>
      <c r="J230" s="35" t="n">
        <v>0</v>
      </c>
      <c r="K230" s="35" t="n">
        <v>0</v>
      </c>
      <c r="L230" s="35" t="n">
        <v>0</v>
      </c>
      <c r="M230" s="35" t="n">
        <v>0</v>
      </c>
      <c r="N230" s="35" t="n">
        <v>0</v>
      </c>
      <c r="O230" s="35" t="n">
        <v>0</v>
      </c>
      <c r="P230" s="35" t="n">
        <v>0</v>
      </c>
      <c r="Q230" s="35" t="n">
        <v>1</v>
      </c>
      <c r="R230" s="35" t="n">
        <v>0</v>
      </c>
      <c r="S230" s="35" t="n">
        <v>0</v>
      </c>
      <c r="T230" s="35" t="n">
        <v>0</v>
      </c>
      <c r="U230" s="35" t="n">
        <v>0</v>
      </c>
      <c r="V230" s="35" t="n">
        <v>0</v>
      </c>
      <c r="W230" s="35" t="n">
        <v>0</v>
      </c>
      <c r="X230" s="35" t="n">
        <v>1</v>
      </c>
      <c r="Y230" s="35" t="n">
        <v>0</v>
      </c>
      <c r="Z230" s="35" t="n">
        <v>0</v>
      </c>
      <c r="AA230" s="35" t="n">
        <v>0</v>
      </c>
      <c r="AB230" s="35" t="n">
        <v>0</v>
      </c>
      <c r="AC230" s="33" t="s">
        <v>331</v>
      </c>
      <c r="AD230" s="36" t="n">
        <f aca="false">B230-B229</f>
        <v>0.125</v>
      </c>
    </row>
    <row r="231" customFormat="false" ht="15" hidden="false" customHeight="false" outlineLevel="0" collapsed="false">
      <c r="A231" s="30" t="n">
        <v>228</v>
      </c>
      <c r="B231" s="31" t="n">
        <f aca="false">Summary!$B$5+IF(D231=1,0,IF(C231=1,Summary!$B$6,NA()))+(MATCH(1,E231:L231,0)-1)*Summary!$B$7+(MATCH(1,M231:T231,0)-1)*Summary!$B$8+(MATCH(1,U231:AB231,0)-1)*Summary!$B$9</f>
        <v>58.5</v>
      </c>
      <c r="C231" s="32" t="n">
        <v>0</v>
      </c>
      <c r="D231" s="32" t="n">
        <v>1</v>
      </c>
      <c r="E231" s="32" t="n">
        <v>0</v>
      </c>
      <c r="F231" s="32" t="n">
        <v>0</v>
      </c>
      <c r="G231" s="32" t="n">
        <v>0</v>
      </c>
      <c r="H231" s="32" t="n">
        <v>1</v>
      </c>
      <c r="I231" s="32" t="n">
        <v>0</v>
      </c>
      <c r="J231" s="32" t="n">
        <v>0</v>
      </c>
      <c r="K231" s="32" t="n">
        <v>0</v>
      </c>
      <c r="L231" s="32" t="n">
        <v>0</v>
      </c>
      <c r="M231" s="32" t="n">
        <v>0</v>
      </c>
      <c r="N231" s="32" t="n">
        <v>0</v>
      </c>
      <c r="O231" s="32" t="n">
        <v>0</v>
      </c>
      <c r="P231" s="32" t="n">
        <v>0</v>
      </c>
      <c r="Q231" s="32" t="n">
        <v>1</v>
      </c>
      <c r="R231" s="32" t="n">
        <v>0</v>
      </c>
      <c r="S231" s="32" t="n">
        <v>0</v>
      </c>
      <c r="T231" s="32" t="n">
        <v>0</v>
      </c>
      <c r="U231" s="32" t="n">
        <v>0</v>
      </c>
      <c r="V231" s="32" t="n">
        <v>0</v>
      </c>
      <c r="W231" s="32" t="n">
        <v>0</v>
      </c>
      <c r="X231" s="32" t="n">
        <v>0</v>
      </c>
      <c r="Y231" s="32" t="n">
        <v>1</v>
      </c>
      <c r="Z231" s="32" t="n">
        <v>0</v>
      </c>
      <c r="AA231" s="32" t="n">
        <v>0</v>
      </c>
      <c r="AB231" s="32" t="n">
        <v>0</v>
      </c>
      <c r="AC231" s="30" t="s">
        <v>332</v>
      </c>
      <c r="AD231" s="37" t="n">
        <f aca="false">B231-B230</f>
        <v>0.125</v>
      </c>
    </row>
    <row r="232" customFormat="false" ht="15" hidden="false" customHeight="false" outlineLevel="0" collapsed="false">
      <c r="A232" s="33" t="n">
        <v>229</v>
      </c>
      <c r="B232" s="34" t="n">
        <f aca="false">Summary!$B$5+IF(D232=1,0,IF(C232=1,Summary!$B$6,NA()))+(MATCH(1,E232:L232,0)-1)*Summary!$B$7+(MATCH(1,M232:T232,0)-1)*Summary!$B$8+(MATCH(1,U232:AB232,0)-1)*Summary!$B$9</f>
        <v>58.625</v>
      </c>
      <c r="C232" s="35" t="n">
        <v>0</v>
      </c>
      <c r="D232" s="35" t="n">
        <v>1</v>
      </c>
      <c r="E232" s="35" t="n">
        <v>0</v>
      </c>
      <c r="F232" s="35" t="n">
        <v>0</v>
      </c>
      <c r="G232" s="35" t="n">
        <v>0</v>
      </c>
      <c r="H232" s="35" t="n">
        <v>1</v>
      </c>
      <c r="I232" s="35" t="n">
        <v>0</v>
      </c>
      <c r="J232" s="35" t="n">
        <v>0</v>
      </c>
      <c r="K232" s="35" t="n">
        <v>0</v>
      </c>
      <c r="L232" s="35" t="n">
        <v>0</v>
      </c>
      <c r="M232" s="35" t="n">
        <v>0</v>
      </c>
      <c r="N232" s="35" t="n">
        <v>0</v>
      </c>
      <c r="O232" s="35" t="n">
        <v>0</v>
      </c>
      <c r="P232" s="35" t="n">
        <v>0</v>
      </c>
      <c r="Q232" s="35" t="n">
        <v>1</v>
      </c>
      <c r="R232" s="35" t="n">
        <v>0</v>
      </c>
      <c r="S232" s="35" t="n">
        <v>0</v>
      </c>
      <c r="T232" s="35" t="n">
        <v>0</v>
      </c>
      <c r="U232" s="35" t="n">
        <v>0</v>
      </c>
      <c r="V232" s="35" t="n">
        <v>0</v>
      </c>
      <c r="W232" s="35" t="n">
        <v>0</v>
      </c>
      <c r="X232" s="35" t="n">
        <v>0</v>
      </c>
      <c r="Y232" s="35" t="n">
        <v>0</v>
      </c>
      <c r="Z232" s="35" t="n">
        <v>1</v>
      </c>
      <c r="AA232" s="35" t="n">
        <v>0</v>
      </c>
      <c r="AB232" s="35" t="n">
        <v>0</v>
      </c>
      <c r="AC232" s="33" t="s">
        <v>333</v>
      </c>
      <c r="AD232" s="36" t="n">
        <f aca="false">B232-B231</f>
        <v>0.125</v>
      </c>
    </row>
    <row r="233" customFormat="false" ht="15" hidden="false" customHeight="false" outlineLevel="0" collapsed="false">
      <c r="A233" s="30" t="n">
        <v>230</v>
      </c>
      <c r="B233" s="31" t="n">
        <f aca="false">Summary!$B$5+IF(D233=1,0,IF(C233=1,Summary!$B$6,NA()))+(MATCH(1,E233:L233,0)-1)*Summary!$B$7+(MATCH(1,M233:T233,0)-1)*Summary!$B$8+(MATCH(1,U233:AB233,0)-1)*Summary!$B$9</f>
        <v>58.75</v>
      </c>
      <c r="C233" s="32" t="n">
        <v>0</v>
      </c>
      <c r="D233" s="32" t="n">
        <v>1</v>
      </c>
      <c r="E233" s="32" t="n">
        <v>0</v>
      </c>
      <c r="F233" s="32" t="n">
        <v>0</v>
      </c>
      <c r="G233" s="32" t="n">
        <v>0</v>
      </c>
      <c r="H233" s="32" t="n">
        <v>1</v>
      </c>
      <c r="I233" s="32" t="n">
        <v>0</v>
      </c>
      <c r="J233" s="32" t="n">
        <v>0</v>
      </c>
      <c r="K233" s="32" t="n">
        <v>0</v>
      </c>
      <c r="L233" s="32" t="n">
        <v>0</v>
      </c>
      <c r="M233" s="32" t="n">
        <v>0</v>
      </c>
      <c r="N233" s="32" t="n">
        <v>0</v>
      </c>
      <c r="O233" s="32" t="n">
        <v>0</v>
      </c>
      <c r="P233" s="32" t="n">
        <v>0</v>
      </c>
      <c r="Q233" s="32" t="n">
        <v>1</v>
      </c>
      <c r="R233" s="32" t="n">
        <v>0</v>
      </c>
      <c r="S233" s="32" t="n">
        <v>0</v>
      </c>
      <c r="T233" s="32" t="n">
        <v>0</v>
      </c>
      <c r="U233" s="32" t="n">
        <v>0</v>
      </c>
      <c r="V233" s="32" t="n">
        <v>0</v>
      </c>
      <c r="W233" s="32" t="n">
        <v>0</v>
      </c>
      <c r="X233" s="32" t="n">
        <v>0</v>
      </c>
      <c r="Y233" s="32" t="n">
        <v>0</v>
      </c>
      <c r="Z233" s="32" t="n">
        <v>0</v>
      </c>
      <c r="AA233" s="32" t="n">
        <v>1</v>
      </c>
      <c r="AB233" s="32" t="n">
        <v>0</v>
      </c>
      <c r="AC233" s="30" t="s">
        <v>334</v>
      </c>
      <c r="AD233" s="37" t="n">
        <f aca="false">B233-B232</f>
        <v>0.125</v>
      </c>
    </row>
    <row r="234" customFormat="false" ht="15" hidden="false" customHeight="false" outlineLevel="0" collapsed="false">
      <c r="A234" s="33" t="n">
        <v>231</v>
      </c>
      <c r="B234" s="34" t="n">
        <f aca="false">Summary!$B$5+IF(D234=1,0,IF(C234=1,Summary!$B$6,NA()))+(MATCH(1,E234:L234,0)-1)*Summary!$B$7+(MATCH(1,M234:T234,0)-1)*Summary!$B$8+(MATCH(1,U234:AB234,0)-1)*Summary!$B$9</f>
        <v>58.875</v>
      </c>
      <c r="C234" s="35" t="n">
        <v>0</v>
      </c>
      <c r="D234" s="35" t="n">
        <v>1</v>
      </c>
      <c r="E234" s="35" t="n">
        <v>0</v>
      </c>
      <c r="F234" s="35" t="n">
        <v>0</v>
      </c>
      <c r="G234" s="35" t="n">
        <v>0</v>
      </c>
      <c r="H234" s="35" t="n">
        <v>1</v>
      </c>
      <c r="I234" s="35" t="n">
        <v>0</v>
      </c>
      <c r="J234" s="35" t="n">
        <v>0</v>
      </c>
      <c r="K234" s="35" t="n">
        <v>0</v>
      </c>
      <c r="L234" s="35" t="n">
        <v>0</v>
      </c>
      <c r="M234" s="35" t="n">
        <v>0</v>
      </c>
      <c r="N234" s="35" t="n">
        <v>0</v>
      </c>
      <c r="O234" s="35" t="n">
        <v>0</v>
      </c>
      <c r="P234" s="35" t="n">
        <v>0</v>
      </c>
      <c r="Q234" s="35" t="n">
        <v>1</v>
      </c>
      <c r="R234" s="35" t="n">
        <v>0</v>
      </c>
      <c r="S234" s="35" t="n">
        <v>0</v>
      </c>
      <c r="T234" s="35" t="n">
        <v>0</v>
      </c>
      <c r="U234" s="35" t="n">
        <v>0</v>
      </c>
      <c r="V234" s="35" t="n">
        <v>0</v>
      </c>
      <c r="W234" s="35" t="n">
        <v>0</v>
      </c>
      <c r="X234" s="35" t="n">
        <v>0</v>
      </c>
      <c r="Y234" s="35" t="n">
        <v>0</v>
      </c>
      <c r="Z234" s="35" t="n">
        <v>0</v>
      </c>
      <c r="AA234" s="35" t="n">
        <v>0</v>
      </c>
      <c r="AB234" s="35" t="n">
        <v>1</v>
      </c>
      <c r="AC234" s="33" t="s">
        <v>335</v>
      </c>
      <c r="AD234" s="36" t="n">
        <f aca="false">B234-B233</f>
        <v>0.125</v>
      </c>
    </row>
    <row r="235" customFormat="false" ht="15" hidden="false" customHeight="false" outlineLevel="0" collapsed="false">
      <c r="A235" s="30" t="n">
        <v>232</v>
      </c>
      <c r="B235" s="31" t="n">
        <f aca="false">Summary!$B$5+IF(D235=1,0,IF(C235=1,Summary!$B$6,NA()))+(MATCH(1,E235:L235,0)-1)*Summary!$B$7+(MATCH(1,M235:T235,0)-1)*Summary!$B$8+(MATCH(1,U235:AB235,0)-1)*Summary!$B$9</f>
        <v>59</v>
      </c>
      <c r="C235" s="32" t="n">
        <v>0</v>
      </c>
      <c r="D235" s="32" t="n">
        <v>1</v>
      </c>
      <c r="E235" s="32" t="n">
        <v>0</v>
      </c>
      <c r="F235" s="32" t="n">
        <v>0</v>
      </c>
      <c r="G235" s="32" t="n">
        <v>0</v>
      </c>
      <c r="H235" s="32" t="n">
        <v>1</v>
      </c>
      <c r="I235" s="32" t="n">
        <v>0</v>
      </c>
      <c r="J235" s="32" t="n">
        <v>0</v>
      </c>
      <c r="K235" s="32" t="n">
        <v>0</v>
      </c>
      <c r="L235" s="32" t="n">
        <v>0</v>
      </c>
      <c r="M235" s="32" t="n">
        <v>0</v>
      </c>
      <c r="N235" s="32" t="n">
        <v>0</v>
      </c>
      <c r="O235" s="32" t="n">
        <v>0</v>
      </c>
      <c r="P235" s="32" t="n">
        <v>0</v>
      </c>
      <c r="Q235" s="32" t="n">
        <v>0</v>
      </c>
      <c r="R235" s="32" t="n">
        <v>1</v>
      </c>
      <c r="S235" s="32" t="n">
        <v>0</v>
      </c>
      <c r="T235" s="32" t="n">
        <v>0</v>
      </c>
      <c r="U235" s="32" t="n">
        <v>1</v>
      </c>
      <c r="V235" s="32" t="n">
        <v>0</v>
      </c>
      <c r="W235" s="32" t="n">
        <v>0</v>
      </c>
      <c r="X235" s="32" t="n">
        <v>0</v>
      </c>
      <c r="Y235" s="32" t="n">
        <v>0</v>
      </c>
      <c r="Z235" s="32" t="n">
        <v>0</v>
      </c>
      <c r="AA235" s="32" t="n">
        <v>0</v>
      </c>
      <c r="AB235" s="32" t="n">
        <v>0</v>
      </c>
      <c r="AC235" s="30" t="s">
        <v>336</v>
      </c>
      <c r="AD235" s="37" t="n">
        <f aca="false">B235-B234</f>
        <v>0.125</v>
      </c>
    </row>
    <row r="236" customFormat="false" ht="15" hidden="false" customHeight="false" outlineLevel="0" collapsed="false">
      <c r="A236" s="33" t="n">
        <v>233</v>
      </c>
      <c r="B236" s="34" t="n">
        <f aca="false">Summary!$B$5+IF(D236=1,0,IF(C236=1,Summary!$B$6,NA()))+(MATCH(1,E236:L236,0)-1)*Summary!$B$7+(MATCH(1,M236:T236,0)-1)*Summary!$B$8+(MATCH(1,U236:AB236,0)-1)*Summary!$B$9</f>
        <v>59.125</v>
      </c>
      <c r="C236" s="35" t="n">
        <v>0</v>
      </c>
      <c r="D236" s="35" t="n">
        <v>1</v>
      </c>
      <c r="E236" s="35" t="n">
        <v>0</v>
      </c>
      <c r="F236" s="35" t="n">
        <v>0</v>
      </c>
      <c r="G236" s="35" t="n">
        <v>0</v>
      </c>
      <c r="H236" s="35" t="n">
        <v>1</v>
      </c>
      <c r="I236" s="35" t="n">
        <v>0</v>
      </c>
      <c r="J236" s="35" t="n">
        <v>0</v>
      </c>
      <c r="K236" s="35" t="n">
        <v>0</v>
      </c>
      <c r="L236" s="35" t="n">
        <v>0</v>
      </c>
      <c r="M236" s="35" t="n">
        <v>0</v>
      </c>
      <c r="N236" s="35" t="n">
        <v>0</v>
      </c>
      <c r="O236" s="35" t="n">
        <v>0</v>
      </c>
      <c r="P236" s="35" t="n">
        <v>0</v>
      </c>
      <c r="Q236" s="35" t="n">
        <v>0</v>
      </c>
      <c r="R236" s="35" t="n">
        <v>1</v>
      </c>
      <c r="S236" s="35" t="n">
        <v>0</v>
      </c>
      <c r="T236" s="35" t="n">
        <v>0</v>
      </c>
      <c r="U236" s="35" t="n">
        <v>0</v>
      </c>
      <c r="V236" s="35" t="n">
        <v>1</v>
      </c>
      <c r="W236" s="35" t="n">
        <v>0</v>
      </c>
      <c r="X236" s="35" t="n">
        <v>0</v>
      </c>
      <c r="Y236" s="35" t="n">
        <v>0</v>
      </c>
      <c r="Z236" s="35" t="n">
        <v>0</v>
      </c>
      <c r="AA236" s="35" t="n">
        <v>0</v>
      </c>
      <c r="AB236" s="35" t="n">
        <v>0</v>
      </c>
      <c r="AC236" s="33" t="s">
        <v>337</v>
      </c>
      <c r="AD236" s="36" t="n">
        <f aca="false">B236-B235</f>
        <v>0.125</v>
      </c>
    </row>
    <row r="237" customFormat="false" ht="15" hidden="false" customHeight="false" outlineLevel="0" collapsed="false">
      <c r="A237" s="30" t="n">
        <v>234</v>
      </c>
      <c r="B237" s="31" t="n">
        <f aca="false">Summary!$B$5+IF(D237=1,0,IF(C237=1,Summary!$B$6,NA()))+(MATCH(1,E237:L237,0)-1)*Summary!$B$7+(MATCH(1,M237:T237,0)-1)*Summary!$B$8+(MATCH(1,U237:AB237,0)-1)*Summary!$B$9</f>
        <v>59.25</v>
      </c>
      <c r="C237" s="32" t="n">
        <v>0</v>
      </c>
      <c r="D237" s="32" t="n">
        <v>1</v>
      </c>
      <c r="E237" s="32" t="n">
        <v>0</v>
      </c>
      <c r="F237" s="32" t="n">
        <v>0</v>
      </c>
      <c r="G237" s="32" t="n">
        <v>0</v>
      </c>
      <c r="H237" s="32" t="n">
        <v>1</v>
      </c>
      <c r="I237" s="32" t="n">
        <v>0</v>
      </c>
      <c r="J237" s="32" t="n">
        <v>0</v>
      </c>
      <c r="K237" s="32" t="n">
        <v>0</v>
      </c>
      <c r="L237" s="32" t="n">
        <v>0</v>
      </c>
      <c r="M237" s="32" t="n">
        <v>0</v>
      </c>
      <c r="N237" s="32" t="n">
        <v>0</v>
      </c>
      <c r="O237" s="32" t="n">
        <v>0</v>
      </c>
      <c r="P237" s="32" t="n">
        <v>0</v>
      </c>
      <c r="Q237" s="32" t="n">
        <v>0</v>
      </c>
      <c r="R237" s="32" t="n">
        <v>1</v>
      </c>
      <c r="S237" s="32" t="n">
        <v>0</v>
      </c>
      <c r="T237" s="32" t="n">
        <v>0</v>
      </c>
      <c r="U237" s="32" t="n">
        <v>0</v>
      </c>
      <c r="V237" s="32" t="n">
        <v>0</v>
      </c>
      <c r="W237" s="32" t="n">
        <v>1</v>
      </c>
      <c r="X237" s="32" t="n">
        <v>0</v>
      </c>
      <c r="Y237" s="32" t="n">
        <v>0</v>
      </c>
      <c r="Z237" s="32" t="n">
        <v>0</v>
      </c>
      <c r="AA237" s="32" t="n">
        <v>0</v>
      </c>
      <c r="AB237" s="32" t="n">
        <v>0</v>
      </c>
      <c r="AC237" s="30" t="s">
        <v>338</v>
      </c>
      <c r="AD237" s="37" t="n">
        <f aca="false">B237-B236</f>
        <v>0.125</v>
      </c>
    </row>
    <row r="238" customFormat="false" ht="15" hidden="false" customHeight="false" outlineLevel="0" collapsed="false">
      <c r="A238" s="33" t="n">
        <v>235</v>
      </c>
      <c r="B238" s="34" t="n">
        <f aca="false">Summary!$B$5+IF(D238=1,0,IF(C238=1,Summary!$B$6,NA()))+(MATCH(1,E238:L238,0)-1)*Summary!$B$7+(MATCH(1,M238:T238,0)-1)*Summary!$B$8+(MATCH(1,U238:AB238,0)-1)*Summary!$B$9</f>
        <v>59.375</v>
      </c>
      <c r="C238" s="35" t="n">
        <v>0</v>
      </c>
      <c r="D238" s="35" t="n">
        <v>1</v>
      </c>
      <c r="E238" s="35" t="n">
        <v>0</v>
      </c>
      <c r="F238" s="35" t="n">
        <v>0</v>
      </c>
      <c r="G238" s="35" t="n">
        <v>0</v>
      </c>
      <c r="H238" s="35" t="n">
        <v>1</v>
      </c>
      <c r="I238" s="35" t="n">
        <v>0</v>
      </c>
      <c r="J238" s="35" t="n">
        <v>0</v>
      </c>
      <c r="K238" s="35" t="n">
        <v>0</v>
      </c>
      <c r="L238" s="35" t="n">
        <v>0</v>
      </c>
      <c r="M238" s="35" t="n">
        <v>0</v>
      </c>
      <c r="N238" s="35" t="n">
        <v>0</v>
      </c>
      <c r="O238" s="35" t="n">
        <v>0</v>
      </c>
      <c r="P238" s="35" t="n">
        <v>0</v>
      </c>
      <c r="Q238" s="35" t="n">
        <v>0</v>
      </c>
      <c r="R238" s="35" t="n">
        <v>1</v>
      </c>
      <c r="S238" s="35" t="n">
        <v>0</v>
      </c>
      <c r="T238" s="35" t="n">
        <v>0</v>
      </c>
      <c r="U238" s="35" t="n">
        <v>0</v>
      </c>
      <c r="V238" s="35" t="n">
        <v>0</v>
      </c>
      <c r="W238" s="35" t="n">
        <v>0</v>
      </c>
      <c r="X238" s="35" t="n">
        <v>1</v>
      </c>
      <c r="Y238" s="35" t="n">
        <v>0</v>
      </c>
      <c r="Z238" s="35" t="n">
        <v>0</v>
      </c>
      <c r="AA238" s="35" t="n">
        <v>0</v>
      </c>
      <c r="AB238" s="35" t="n">
        <v>0</v>
      </c>
      <c r="AC238" s="33" t="s">
        <v>339</v>
      </c>
      <c r="AD238" s="36" t="n">
        <f aca="false">B238-B237</f>
        <v>0.125</v>
      </c>
    </row>
    <row r="239" customFormat="false" ht="15" hidden="false" customHeight="false" outlineLevel="0" collapsed="false">
      <c r="A239" s="30" t="n">
        <v>236</v>
      </c>
      <c r="B239" s="31" t="n">
        <f aca="false">Summary!$B$5+IF(D239=1,0,IF(C239=1,Summary!$B$6,NA()))+(MATCH(1,E239:L239,0)-1)*Summary!$B$7+(MATCH(1,M239:T239,0)-1)*Summary!$B$8+(MATCH(1,U239:AB239,0)-1)*Summary!$B$9</f>
        <v>59.5</v>
      </c>
      <c r="C239" s="32" t="n">
        <v>0</v>
      </c>
      <c r="D239" s="32" t="n">
        <v>1</v>
      </c>
      <c r="E239" s="32" t="n">
        <v>0</v>
      </c>
      <c r="F239" s="32" t="n">
        <v>0</v>
      </c>
      <c r="G239" s="32" t="n">
        <v>0</v>
      </c>
      <c r="H239" s="32" t="n">
        <v>1</v>
      </c>
      <c r="I239" s="32" t="n">
        <v>0</v>
      </c>
      <c r="J239" s="32" t="n">
        <v>0</v>
      </c>
      <c r="K239" s="32" t="n">
        <v>0</v>
      </c>
      <c r="L239" s="32" t="n">
        <v>0</v>
      </c>
      <c r="M239" s="32" t="n">
        <v>0</v>
      </c>
      <c r="N239" s="32" t="n">
        <v>0</v>
      </c>
      <c r="O239" s="32" t="n">
        <v>0</v>
      </c>
      <c r="P239" s="32" t="n">
        <v>0</v>
      </c>
      <c r="Q239" s="32" t="n">
        <v>0</v>
      </c>
      <c r="R239" s="32" t="n">
        <v>1</v>
      </c>
      <c r="S239" s="32" t="n">
        <v>0</v>
      </c>
      <c r="T239" s="32" t="n">
        <v>0</v>
      </c>
      <c r="U239" s="32" t="n">
        <v>0</v>
      </c>
      <c r="V239" s="32" t="n">
        <v>0</v>
      </c>
      <c r="W239" s="32" t="n">
        <v>0</v>
      </c>
      <c r="X239" s="32" t="n">
        <v>0</v>
      </c>
      <c r="Y239" s="32" t="n">
        <v>1</v>
      </c>
      <c r="Z239" s="32" t="n">
        <v>0</v>
      </c>
      <c r="AA239" s="32" t="n">
        <v>0</v>
      </c>
      <c r="AB239" s="32" t="n">
        <v>0</v>
      </c>
      <c r="AC239" s="30" t="s">
        <v>340</v>
      </c>
      <c r="AD239" s="37" t="n">
        <f aca="false">B239-B238</f>
        <v>0.125</v>
      </c>
    </row>
    <row r="240" customFormat="false" ht="15" hidden="false" customHeight="false" outlineLevel="0" collapsed="false">
      <c r="A240" s="33" t="n">
        <v>237</v>
      </c>
      <c r="B240" s="34" t="n">
        <f aca="false">Summary!$B$5+IF(D240=1,0,IF(C240=1,Summary!$B$6,NA()))+(MATCH(1,E240:L240,0)-1)*Summary!$B$7+(MATCH(1,M240:T240,0)-1)*Summary!$B$8+(MATCH(1,U240:AB240,0)-1)*Summary!$B$9</f>
        <v>59.625</v>
      </c>
      <c r="C240" s="35" t="n">
        <v>0</v>
      </c>
      <c r="D240" s="35" t="n">
        <v>1</v>
      </c>
      <c r="E240" s="35" t="n">
        <v>0</v>
      </c>
      <c r="F240" s="35" t="n">
        <v>0</v>
      </c>
      <c r="G240" s="35" t="n">
        <v>0</v>
      </c>
      <c r="H240" s="35" t="n">
        <v>1</v>
      </c>
      <c r="I240" s="35" t="n">
        <v>0</v>
      </c>
      <c r="J240" s="35" t="n">
        <v>0</v>
      </c>
      <c r="K240" s="35" t="n">
        <v>0</v>
      </c>
      <c r="L240" s="35" t="n">
        <v>0</v>
      </c>
      <c r="M240" s="35" t="n">
        <v>0</v>
      </c>
      <c r="N240" s="35" t="n">
        <v>0</v>
      </c>
      <c r="O240" s="35" t="n">
        <v>0</v>
      </c>
      <c r="P240" s="35" t="n">
        <v>0</v>
      </c>
      <c r="Q240" s="35" t="n">
        <v>0</v>
      </c>
      <c r="R240" s="35" t="n">
        <v>1</v>
      </c>
      <c r="S240" s="35" t="n">
        <v>0</v>
      </c>
      <c r="T240" s="35" t="n">
        <v>0</v>
      </c>
      <c r="U240" s="35" t="n">
        <v>0</v>
      </c>
      <c r="V240" s="35" t="n">
        <v>0</v>
      </c>
      <c r="W240" s="35" t="n">
        <v>0</v>
      </c>
      <c r="X240" s="35" t="n">
        <v>0</v>
      </c>
      <c r="Y240" s="35" t="n">
        <v>0</v>
      </c>
      <c r="Z240" s="35" t="n">
        <v>1</v>
      </c>
      <c r="AA240" s="35" t="n">
        <v>0</v>
      </c>
      <c r="AB240" s="35" t="n">
        <v>0</v>
      </c>
      <c r="AC240" s="33" t="s">
        <v>341</v>
      </c>
      <c r="AD240" s="36" t="n">
        <f aca="false">B240-B239</f>
        <v>0.125</v>
      </c>
    </row>
    <row r="241" customFormat="false" ht="15" hidden="false" customHeight="false" outlineLevel="0" collapsed="false">
      <c r="A241" s="30" t="n">
        <v>238</v>
      </c>
      <c r="B241" s="31" t="n">
        <f aca="false">Summary!$B$5+IF(D241=1,0,IF(C241=1,Summary!$B$6,NA()))+(MATCH(1,E241:L241,0)-1)*Summary!$B$7+(MATCH(1,M241:T241,0)-1)*Summary!$B$8+(MATCH(1,U241:AB241,0)-1)*Summary!$B$9</f>
        <v>59.75</v>
      </c>
      <c r="C241" s="32" t="n">
        <v>0</v>
      </c>
      <c r="D241" s="32" t="n">
        <v>1</v>
      </c>
      <c r="E241" s="32" t="n">
        <v>0</v>
      </c>
      <c r="F241" s="32" t="n">
        <v>0</v>
      </c>
      <c r="G241" s="32" t="n">
        <v>0</v>
      </c>
      <c r="H241" s="32" t="n">
        <v>1</v>
      </c>
      <c r="I241" s="32" t="n">
        <v>0</v>
      </c>
      <c r="J241" s="32" t="n">
        <v>0</v>
      </c>
      <c r="K241" s="32" t="n">
        <v>0</v>
      </c>
      <c r="L241" s="32" t="n">
        <v>0</v>
      </c>
      <c r="M241" s="32" t="n">
        <v>0</v>
      </c>
      <c r="N241" s="32" t="n">
        <v>0</v>
      </c>
      <c r="O241" s="32" t="n">
        <v>0</v>
      </c>
      <c r="P241" s="32" t="n">
        <v>0</v>
      </c>
      <c r="Q241" s="32" t="n">
        <v>0</v>
      </c>
      <c r="R241" s="32" t="n">
        <v>1</v>
      </c>
      <c r="S241" s="32" t="n">
        <v>0</v>
      </c>
      <c r="T241" s="32" t="n">
        <v>0</v>
      </c>
      <c r="U241" s="32" t="n">
        <v>0</v>
      </c>
      <c r="V241" s="32" t="n">
        <v>0</v>
      </c>
      <c r="W241" s="32" t="n">
        <v>0</v>
      </c>
      <c r="X241" s="32" t="n">
        <v>0</v>
      </c>
      <c r="Y241" s="32" t="n">
        <v>0</v>
      </c>
      <c r="Z241" s="32" t="n">
        <v>0</v>
      </c>
      <c r="AA241" s="32" t="n">
        <v>1</v>
      </c>
      <c r="AB241" s="32" t="n">
        <v>0</v>
      </c>
      <c r="AC241" s="30" t="s">
        <v>342</v>
      </c>
      <c r="AD241" s="37" t="n">
        <f aca="false">B241-B240</f>
        <v>0.125</v>
      </c>
    </row>
    <row r="242" customFormat="false" ht="15" hidden="false" customHeight="false" outlineLevel="0" collapsed="false">
      <c r="A242" s="33" t="n">
        <v>239</v>
      </c>
      <c r="B242" s="34" t="n">
        <f aca="false">Summary!$B$5+IF(D242=1,0,IF(C242=1,Summary!$B$6,NA()))+(MATCH(1,E242:L242,0)-1)*Summary!$B$7+(MATCH(1,M242:T242,0)-1)*Summary!$B$8+(MATCH(1,U242:AB242,0)-1)*Summary!$B$9</f>
        <v>59.875</v>
      </c>
      <c r="C242" s="35" t="n">
        <v>0</v>
      </c>
      <c r="D242" s="35" t="n">
        <v>1</v>
      </c>
      <c r="E242" s="35" t="n">
        <v>0</v>
      </c>
      <c r="F242" s="35" t="n">
        <v>0</v>
      </c>
      <c r="G242" s="35" t="n">
        <v>0</v>
      </c>
      <c r="H242" s="35" t="n">
        <v>1</v>
      </c>
      <c r="I242" s="35" t="n">
        <v>0</v>
      </c>
      <c r="J242" s="35" t="n">
        <v>0</v>
      </c>
      <c r="K242" s="35" t="n">
        <v>0</v>
      </c>
      <c r="L242" s="35" t="n">
        <v>0</v>
      </c>
      <c r="M242" s="35" t="n">
        <v>0</v>
      </c>
      <c r="N242" s="35" t="n">
        <v>0</v>
      </c>
      <c r="O242" s="35" t="n">
        <v>0</v>
      </c>
      <c r="P242" s="35" t="n">
        <v>0</v>
      </c>
      <c r="Q242" s="35" t="n">
        <v>0</v>
      </c>
      <c r="R242" s="35" t="n">
        <v>1</v>
      </c>
      <c r="S242" s="35" t="n">
        <v>0</v>
      </c>
      <c r="T242" s="35" t="n">
        <v>0</v>
      </c>
      <c r="U242" s="35" t="n">
        <v>0</v>
      </c>
      <c r="V242" s="35" t="n">
        <v>0</v>
      </c>
      <c r="W242" s="35" t="n">
        <v>0</v>
      </c>
      <c r="X242" s="35" t="n">
        <v>0</v>
      </c>
      <c r="Y242" s="35" t="n">
        <v>0</v>
      </c>
      <c r="Z242" s="35" t="n">
        <v>0</v>
      </c>
      <c r="AA242" s="35" t="n">
        <v>0</v>
      </c>
      <c r="AB242" s="35" t="n">
        <v>1</v>
      </c>
      <c r="AC242" s="33" t="s">
        <v>343</v>
      </c>
      <c r="AD242" s="36" t="n">
        <f aca="false">B242-B241</f>
        <v>0.125</v>
      </c>
    </row>
    <row r="243" customFormat="false" ht="15" hidden="false" customHeight="false" outlineLevel="0" collapsed="false">
      <c r="A243" s="30" t="n">
        <v>240</v>
      </c>
      <c r="B243" s="31" t="n">
        <f aca="false">Summary!$B$5+IF(D243=1,0,IF(C243=1,Summary!$B$6,NA()))+(MATCH(1,E243:L243,0)-1)*Summary!$B$7+(MATCH(1,M243:T243,0)-1)*Summary!$B$8+(MATCH(1,U243:AB243,0)-1)*Summary!$B$9</f>
        <v>60</v>
      </c>
      <c r="C243" s="32" t="n">
        <v>0</v>
      </c>
      <c r="D243" s="32" t="n">
        <v>1</v>
      </c>
      <c r="E243" s="32" t="n">
        <v>0</v>
      </c>
      <c r="F243" s="32" t="n">
        <v>0</v>
      </c>
      <c r="G243" s="32" t="n">
        <v>0</v>
      </c>
      <c r="H243" s="32" t="n">
        <v>1</v>
      </c>
      <c r="I243" s="32" t="n">
        <v>0</v>
      </c>
      <c r="J243" s="32" t="n">
        <v>0</v>
      </c>
      <c r="K243" s="32" t="n">
        <v>0</v>
      </c>
      <c r="L243" s="32" t="n">
        <v>0</v>
      </c>
      <c r="M243" s="32" t="n">
        <v>0</v>
      </c>
      <c r="N243" s="32" t="n">
        <v>0</v>
      </c>
      <c r="O243" s="32" t="n">
        <v>0</v>
      </c>
      <c r="P243" s="32" t="n">
        <v>0</v>
      </c>
      <c r="Q243" s="32" t="n">
        <v>0</v>
      </c>
      <c r="R243" s="32" t="n">
        <v>0</v>
      </c>
      <c r="S243" s="32" t="n">
        <v>1</v>
      </c>
      <c r="T243" s="32" t="n">
        <v>0</v>
      </c>
      <c r="U243" s="32" t="n">
        <v>1</v>
      </c>
      <c r="V243" s="32" t="n">
        <v>0</v>
      </c>
      <c r="W243" s="32" t="n">
        <v>0</v>
      </c>
      <c r="X243" s="32" t="n">
        <v>0</v>
      </c>
      <c r="Y243" s="32" t="n">
        <v>0</v>
      </c>
      <c r="Z243" s="32" t="n">
        <v>0</v>
      </c>
      <c r="AA243" s="32" t="n">
        <v>0</v>
      </c>
      <c r="AB243" s="32" t="n">
        <v>0</v>
      </c>
      <c r="AC243" s="30" t="s">
        <v>344</v>
      </c>
      <c r="AD243" s="37" t="n">
        <f aca="false">B243-B242</f>
        <v>0.125</v>
      </c>
    </row>
    <row r="244" customFormat="false" ht="15" hidden="false" customHeight="false" outlineLevel="0" collapsed="false">
      <c r="A244" s="33" t="n">
        <v>241</v>
      </c>
      <c r="B244" s="34" t="n">
        <f aca="false">Summary!$B$5+IF(D244=1,0,IF(C244=1,Summary!$B$6,NA()))+(MATCH(1,E244:L244,0)-1)*Summary!$B$7+(MATCH(1,M244:T244,0)-1)*Summary!$B$8+(MATCH(1,U244:AB244,0)-1)*Summary!$B$9</f>
        <v>60.125</v>
      </c>
      <c r="C244" s="35" t="n">
        <v>0</v>
      </c>
      <c r="D244" s="35" t="n">
        <v>1</v>
      </c>
      <c r="E244" s="35" t="n">
        <v>0</v>
      </c>
      <c r="F244" s="35" t="n">
        <v>0</v>
      </c>
      <c r="G244" s="35" t="n">
        <v>0</v>
      </c>
      <c r="H244" s="35" t="n">
        <v>1</v>
      </c>
      <c r="I244" s="35" t="n">
        <v>0</v>
      </c>
      <c r="J244" s="35" t="n">
        <v>0</v>
      </c>
      <c r="K244" s="35" t="n">
        <v>0</v>
      </c>
      <c r="L244" s="35" t="n">
        <v>0</v>
      </c>
      <c r="M244" s="35" t="n">
        <v>0</v>
      </c>
      <c r="N244" s="35" t="n">
        <v>0</v>
      </c>
      <c r="O244" s="35" t="n">
        <v>0</v>
      </c>
      <c r="P244" s="35" t="n">
        <v>0</v>
      </c>
      <c r="Q244" s="35" t="n">
        <v>0</v>
      </c>
      <c r="R244" s="35" t="n">
        <v>0</v>
      </c>
      <c r="S244" s="35" t="n">
        <v>1</v>
      </c>
      <c r="T244" s="35" t="n">
        <v>0</v>
      </c>
      <c r="U244" s="35" t="n">
        <v>0</v>
      </c>
      <c r="V244" s="35" t="n">
        <v>1</v>
      </c>
      <c r="W244" s="35" t="n">
        <v>0</v>
      </c>
      <c r="X244" s="35" t="n">
        <v>0</v>
      </c>
      <c r="Y244" s="35" t="n">
        <v>0</v>
      </c>
      <c r="Z244" s="35" t="n">
        <v>0</v>
      </c>
      <c r="AA244" s="35" t="n">
        <v>0</v>
      </c>
      <c r="AB244" s="35" t="n">
        <v>0</v>
      </c>
      <c r="AC244" s="33" t="s">
        <v>345</v>
      </c>
      <c r="AD244" s="36" t="n">
        <f aca="false">B244-B243</f>
        <v>0.125</v>
      </c>
    </row>
    <row r="245" customFormat="false" ht="15" hidden="false" customHeight="false" outlineLevel="0" collapsed="false">
      <c r="A245" s="30" t="n">
        <v>242</v>
      </c>
      <c r="B245" s="31" t="n">
        <f aca="false">Summary!$B$5+IF(D245=1,0,IF(C245=1,Summary!$B$6,NA()))+(MATCH(1,E245:L245,0)-1)*Summary!$B$7+(MATCH(1,M245:T245,0)-1)*Summary!$B$8+(MATCH(1,U245:AB245,0)-1)*Summary!$B$9</f>
        <v>60.25</v>
      </c>
      <c r="C245" s="32" t="n">
        <v>0</v>
      </c>
      <c r="D245" s="32" t="n">
        <v>1</v>
      </c>
      <c r="E245" s="32" t="n">
        <v>0</v>
      </c>
      <c r="F245" s="32" t="n">
        <v>0</v>
      </c>
      <c r="G245" s="32" t="n">
        <v>0</v>
      </c>
      <c r="H245" s="32" t="n">
        <v>1</v>
      </c>
      <c r="I245" s="32" t="n">
        <v>0</v>
      </c>
      <c r="J245" s="32" t="n">
        <v>0</v>
      </c>
      <c r="K245" s="32" t="n">
        <v>0</v>
      </c>
      <c r="L245" s="32" t="n">
        <v>0</v>
      </c>
      <c r="M245" s="32" t="n">
        <v>0</v>
      </c>
      <c r="N245" s="32" t="n">
        <v>0</v>
      </c>
      <c r="O245" s="32" t="n">
        <v>0</v>
      </c>
      <c r="P245" s="32" t="n">
        <v>0</v>
      </c>
      <c r="Q245" s="32" t="n">
        <v>0</v>
      </c>
      <c r="R245" s="32" t="n">
        <v>0</v>
      </c>
      <c r="S245" s="32" t="n">
        <v>1</v>
      </c>
      <c r="T245" s="32" t="n">
        <v>0</v>
      </c>
      <c r="U245" s="32" t="n">
        <v>0</v>
      </c>
      <c r="V245" s="32" t="n">
        <v>0</v>
      </c>
      <c r="W245" s="32" t="n">
        <v>1</v>
      </c>
      <c r="X245" s="32" t="n">
        <v>0</v>
      </c>
      <c r="Y245" s="32" t="n">
        <v>0</v>
      </c>
      <c r="Z245" s="32" t="n">
        <v>0</v>
      </c>
      <c r="AA245" s="32" t="n">
        <v>0</v>
      </c>
      <c r="AB245" s="32" t="n">
        <v>0</v>
      </c>
      <c r="AC245" s="30" t="s">
        <v>346</v>
      </c>
      <c r="AD245" s="37" t="n">
        <f aca="false">B245-B244</f>
        <v>0.125</v>
      </c>
    </row>
    <row r="246" customFormat="false" ht="15" hidden="false" customHeight="false" outlineLevel="0" collapsed="false">
      <c r="A246" s="33" t="n">
        <v>243</v>
      </c>
      <c r="B246" s="34" t="n">
        <f aca="false">Summary!$B$5+IF(D246=1,0,IF(C246=1,Summary!$B$6,NA()))+(MATCH(1,E246:L246,0)-1)*Summary!$B$7+(MATCH(1,M246:T246,0)-1)*Summary!$B$8+(MATCH(1,U246:AB246,0)-1)*Summary!$B$9</f>
        <v>60.375</v>
      </c>
      <c r="C246" s="35" t="n">
        <v>0</v>
      </c>
      <c r="D246" s="35" t="n">
        <v>1</v>
      </c>
      <c r="E246" s="35" t="n">
        <v>0</v>
      </c>
      <c r="F246" s="35" t="n">
        <v>0</v>
      </c>
      <c r="G246" s="35" t="n">
        <v>0</v>
      </c>
      <c r="H246" s="35" t="n">
        <v>1</v>
      </c>
      <c r="I246" s="35" t="n">
        <v>0</v>
      </c>
      <c r="J246" s="35" t="n">
        <v>0</v>
      </c>
      <c r="K246" s="35" t="n">
        <v>0</v>
      </c>
      <c r="L246" s="35" t="n">
        <v>0</v>
      </c>
      <c r="M246" s="35" t="n">
        <v>0</v>
      </c>
      <c r="N246" s="35" t="n">
        <v>0</v>
      </c>
      <c r="O246" s="35" t="n">
        <v>0</v>
      </c>
      <c r="P246" s="35" t="n">
        <v>0</v>
      </c>
      <c r="Q246" s="35" t="n">
        <v>0</v>
      </c>
      <c r="R246" s="35" t="n">
        <v>0</v>
      </c>
      <c r="S246" s="35" t="n">
        <v>1</v>
      </c>
      <c r="T246" s="35" t="n">
        <v>0</v>
      </c>
      <c r="U246" s="35" t="n">
        <v>0</v>
      </c>
      <c r="V246" s="35" t="n">
        <v>0</v>
      </c>
      <c r="W246" s="35" t="n">
        <v>0</v>
      </c>
      <c r="X246" s="35" t="n">
        <v>1</v>
      </c>
      <c r="Y246" s="35" t="n">
        <v>0</v>
      </c>
      <c r="Z246" s="35" t="n">
        <v>0</v>
      </c>
      <c r="AA246" s="35" t="n">
        <v>0</v>
      </c>
      <c r="AB246" s="35" t="n">
        <v>0</v>
      </c>
      <c r="AC246" s="33" t="s">
        <v>347</v>
      </c>
      <c r="AD246" s="36" t="n">
        <f aca="false">B246-B245</f>
        <v>0.125</v>
      </c>
    </row>
    <row r="247" customFormat="false" ht="15" hidden="false" customHeight="false" outlineLevel="0" collapsed="false">
      <c r="A247" s="30" t="n">
        <v>244</v>
      </c>
      <c r="B247" s="31" t="n">
        <f aca="false">Summary!$B$5+IF(D247=1,0,IF(C247=1,Summary!$B$6,NA()))+(MATCH(1,E247:L247,0)-1)*Summary!$B$7+(MATCH(1,M247:T247,0)-1)*Summary!$B$8+(MATCH(1,U247:AB247,0)-1)*Summary!$B$9</f>
        <v>60.5</v>
      </c>
      <c r="C247" s="32" t="n">
        <v>0</v>
      </c>
      <c r="D247" s="32" t="n">
        <v>1</v>
      </c>
      <c r="E247" s="32" t="n">
        <v>0</v>
      </c>
      <c r="F247" s="32" t="n">
        <v>0</v>
      </c>
      <c r="G247" s="32" t="n">
        <v>0</v>
      </c>
      <c r="H247" s="32" t="n">
        <v>1</v>
      </c>
      <c r="I247" s="32" t="n">
        <v>0</v>
      </c>
      <c r="J247" s="32" t="n">
        <v>0</v>
      </c>
      <c r="K247" s="32" t="n">
        <v>0</v>
      </c>
      <c r="L247" s="32" t="n">
        <v>0</v>
      </c>
      <c r="M247" s="32" t="n">
        <v>0</v>
      </c>
      <c r="N247" s="32" t="n">
        <v>0</v>
      </c>
      <c r="O247" s="32" t="n">
        <v>0</v>
      </c>
      <c r="P247" s="32" t="n">
        <v>0</v>
      </c>
      <c r="Q247" s="32" t="n">
        <v>0</v>
      </c>
      <c r="R247" s="32" t="n">
        <v>0</v>
      </c>
      <c r="S247" s="32" t="n">
        <v>1</v>
      </c>
      <c r="T247" s="32" t="n">
        <v>0</v>
      </c>
      <c r="U247" s="32" t="n">
        <v>0</v>
      </c>
      <c r="V247" s="32" t="n">
        <v>0</v>
      </c>
      <c r="W247" s="32" t="n">
        <v>0</v>
      </c>
      <c r="X247" s="32" t="n">
        <v>0</v>
      </c>
      <c r="Y247" s="32" t="n">
        <v>1</v>
      </c>
      <c r="Z247" s="32" t="n">
        <v>0</v>
      </c>
      <c r="AA247" s="32" t="n">
        <v>0</v>
      </c>
      <c r="AB247" s="32" t="n">
        <v>0</v>
      </c>
      <c r="AC247" s="30" t="s">
        <v>348</v>
      </c>
      <c r="AD247" s="37" t="n">
        <f aca="false">B247-B246</f>
        <v>0.125</v>
      </c>
    </row>
    <row r="248" customFormat="false" ht="15" hidden="false" customHeight="false" outlineLevel="0" collapsed="false">
      <c r="A248" s="33" t="n">
        <v>245</v>
      </c>
      <c r="B248" s="34" t="n">
        <f aca="false">Summary!$B$5+IF(D248=1,0,IF(C248=1,Summary!$B$6,NA()))+(MATCH(1,E248:L248,0)-1)*Summary!$B$7+(MATCH(1,M248:T248,0)-1)*Summary!$B$8+(MATCH(1,U248:AB248,0)-1)*Summary!$B$9</f>
        <v>60.625</v>
      </c>
      <c r="C248" s="35" t="n">
        <v>0</v>
      </c>
      <c r="D248" s="35" t="n">
        <v>1</v>
      </c>
      <c r="E248" s="35" t="n">
        <v>0</v>
      </c>
      <c r="F248" s="35" t="n">
        <v>0</v>
      </c>
      <c r="G248" s="35" t="n">
        <v>0</v>
      </c>
      <c r="H248" s="35" t="n">
        <v>1</v>
      </c>
      <c r="I248" s="35" t="n">
        <v>0</v>
      </c>
      <c r="J248" s="35" t="n">
        <v>0</v>
      </c>
      <c r="K248" s="35" t="n">
        <v>0</v>
      </c>
      <c r="L248" s="35" t="n">
        <v>0</v>
      </c>
      <c r="M248" s="35" t="n">
        <v>0</v>
      </c>
      <c r="N248" s="35" t="n">
        <v>0</v>
      </c>
      <c r="O248" s="35" t="n">
        <v>0</v>
      </c>
      <c r="P248" s="35" t="n">
        <v>0</v>
      </c>
      <c r="Q248" s="35" t="n">
        <v>0</v>
      </c>
      <c r="R248" s="35" t="n">
        <v>0</v>
      </c>
      <c r="S248" s="35" t="n">
        <v>1</v>
      </c>
      <c r="T248" s="35" t="n">
        <v>0</v>
      </c>
      <c r="U248" s="35" t="n">
        <v>0</v>
      </c>
      <c r="V248" s="35" t="n">
        <v>0</v>
      </c>
      <c r="W248" s="35" t="n">
        <v>0</v>
      </c>
      <c r="X248" s="35" t="n">
        <v>0</v>
      </c>
      <c r="Y248" s="35" t="n">
        <v>0</v>
      </c>
      <c r="Z248" s="35" t="n">
        <v>1</v>
      </c>
      <c r="AA248" s="35" t="n">
        <v>0</v>
      </c>
      <c r="AB248" s="35" t="n">
        <v>0</v>
      </c>
      <c r="AC248" s="33" t="s">
        <v>349</v>
      </c>
      <c r="AD248" s="36" t="n">
        <f aca="false">B248-B247</f>
        <v>0.125</v>
      </c>
    </row>
    <row r="249" customFormat="false" ht="15" hidden="false" customHeight="false" outlineLevel="0" collapsed="false">
      <c r="A249" s="30" t="n">
        <v>246</v>
      </c>
      <c r="B249" s="31" t="n">
        <f aca="false">Summary!$B$5+IF(D249=1,0,IF(C249=1,Summary!$B$6,NA()))+(MATCH(1,E249:L249,0)-1)*Summary!$B$7+(MATCH(1,M249:T249,0)-1)*Summary!$B$8+(MATCH(1,U249:AB249,0)-1)*Summary!$B$9</f>
        <v>60.75</v>
      </c>
      <c r="C249" s="32" t="n">
        <v>0</v>
      </c>
      <c r="D249" s="32" t="n">
        <v>1</v>
      </c>
      <c r="E249" s="32" t="n">
        <v>0</v>
      </c>
      <c r="F249" s="32" t="n">
        <v>0</v>
      </c>
      <c r="G249" s="32" t="n">
        <v>0</v>
      </c>
      <c r="H249" s="32" t="n">
        <v>1</v>
      </c>
      <c r="I249" s="32" t="n">
        <v>0</v>
      </c>
      <c r="J249" s="32" t="n">
        <v>0</v>
      </c>
      <c r="K249" s="32" t="n">
        <v>0</v>
      </c>
      <c r="L249" s="32" t="n">
        <v>0</v>
      </c>
      <c r="M249" s="32" t="n">
        <v>0</v>
      </c>
      <c r="N249" s="32" t="n">
        <v>0</v>
      </c>
      <c r="O249" s="32" t="n">
        <v>0</v>
      </c>
      <c r="P249" s="32" t="n">
        <v>0</v>
      </c>
      <c r="Q249" s="32" t="n">
        <v>0</v>
      </c>
      <c r="R249" s="32" t="n">
        <v>0</v>
      </c>
      <c r="S249" s="32" t="n">
        <v>1</v>
      </c>
      <c r="T249" s="32" t="n">
        <v>0</v>
      </c>
      <c r="U249" s="32" t="n">
        <v>0</v>
      </c>
      <c r="V249" s="32" t="n">
        <v>0</v>
      </c>
      <c r="W249" s="32" t="n">
        <v>0</v>
      </c>
      <c r="X249" s="32" t="n">
        <v>0</v>
      </c>
      <c r="Y249" s="32" t="n">
        <v>0</v>
      </c>
      <c r="Z249" s="32" t="n">
        <v>0</v>
      </c>
      <c r="AA249" s="32" t="n">
        <v>1</v>
      </c>
      <c r="AB249" s="32" t="n">
        <v>0</v>
      </c>
      <c r="AC249" s="30" t="s">
        <v>350</v>
      </c>
      <c r="AD249" s="37" t="n">
        <f aca="false">B249-B248</f>
        <v>0.125</v>
      </c>
    </row>
    <row r="250" customFormat="false" ht="15" hidden="false" customHeight="false" outlineLevel="0" collapsed="false">
      <c r="A250" s="33" t="n">
        <v>247</v>
      </c>
      <c r="B250" s="34" t="n">
        <f aca="false">Summary!$B$5+IF(D250=1,0,IF(C250=1,Summary!$B$6,NA()))+(MATCH(1,E250:L250,0)-1)*Summary!$B$7+(MATCH(1,M250:T250,0)-1)*Summary!$B$8+(MATCH(1,U250:AB250,0)-1)*Summary!$B$9</f>
        <v>60.875</v>
      </c>
      <c r="C250" s="35" t="n">
        <v>0</v>
      </c>
      <c r="D250" s="35" t="n">
        <v>1</v>
      </c>
      <c r="E250" s="35" t="n">
        <v>0</v>
      </c>
      <c r="F250" s="35" t="n">
        <v>0</v>
      </c>
      <c r="G250" s="35" t="n">
        <v>0</v>
      </c>
      <c r="H250" s="35" t="n">
        <v>1</v>
      </c>
      <c r="I250" s="35" t="n">
        <v>0</v>
      </c>
      <c r="J250" s="35" t="n">
        <v>0</v>
      </c>
      <c r="K250" s="35" t="n">
        <v>0</v>
      </c>
      <c r="L250" s="35" t="n">
        <v>0</v>
      </c>
      <c r="M250" s="35" t="n">
        <v>0</v>
      </c>
      <c r="N250" s="35" t="n">
        <v>0</v>
      </c>
      <c r="O250" s="35" t="n">
        <v>0</v>
      </c>
      <c r="P250" s="35" t="n">
        <v>0</v>
      </c>
      <c r="Q250" s="35" t="n">
        <v>0</v>
      </c>
      <c r="R250" s="35" t="n">
        <v>0</v>
      </c>
      <c r="S250" s="35" t="n">
        <v>1</v>
      </c>
      <c r="T250" s="35" t="n">
        <v>0</v>
      </c>
      <c r="U250" s="35" t="n">
        <v>0</v>
      </c>
      <c r="V250" s="35" t="n">
        <v>0</v>
      </c>
      <c r="W250" s="35" t="n">
        <v>0</v>
      </c>
      <c r="X250" s="35" t="n">
        <v>0</v>
      </c>
      <c r="Y250" s="35" t="n">
        <v>0</v>
      </c>
      <c r="Z250" s="35" t="n">
        <v>0</v>
      </c>
      <c r="AA250" s="35" t="n">
        <v>0</v>
      </c>
      <c r="AB250" s="35" t="n">
        <v>1</v>
      </c>
      <c r="AC250" s="33" t="s">
        <v>351</v>
      </c>
      <c r="AD250" s="36" t="n">
        <f aca="false">B250-B249</f>
        <v>0.125</v>
      </c>
    </row>
    <row r="251" customFormat="false" ht="15" hidden="false" customHeight="false" outlineLevel="0" collapsed="false">
      <c r="A251" s="30" t="n">
        <v>248</v>
      </c>
      <c r="B251" s="31" t="n">
        <f aca="false">Summary!$B$5+IF(D251=1,0,IF(C251=1,Summary!$B$6,NA()))+(MATCH(1,E251:L251,0)-1)*Summary!$B$7+(MATCH(1,M251:T251,0)-1)*Summary!$B$8+(MATCH(1,U251:AB251,0)-1)*Summary!$B$9</f>
        <v>61</v>
      </c>
      <c r="C251" s="32" t="n">
        <v>0</v>
      </c>
      <c r="D251" s="32" t="n">
        <v>1</v>
      </c>
      <c r="E251" s="32" t="n">
        <v>0</v>
      </c>
      <c r="F251" s="32" t="n">
        <v>0</v>
      </c>
      <c r="G251" s="32" t="n">
        <v>0</v>
      </c>
      <c r="H251" s="32" t="n">
        <v>1</v>
      </c>
      <c r="I251" s="32" t="n">
        <v>0</v>
      </c>
      <c r="J251" s="32" t="n">
        <v>0</v>
      </c>
      <c r="K251" s="32" t="n">
        <v>0</v>
      </c>
      <c r="L251" s="32" t="n">
        <v>0</v>
      </c>
      <c r="M251" s="32" t="n">
        <v>0</v>
      </c>
      <c r="N251" s="32" t="n">
        <v>0</v>
      </c>
      <c r="O251" s="32" t="n">
        <v>0</v>
      </c>
      <c r="P251" s="32" t="n">
        <v>0</v>
      </c>
      <c r="Q251" s="32" t="n">
        <v>0</v>
      </c>
      <c r="R251" s="32" t="n">
        <v>0</v>
      </c>
      <c r="S251" s="32" t="n">
        <v>0</v>
      </c>
      <c r="T251" s="32" t="n">
        <v>1</v>
      </c>
      <c r="U251" s="32" t="n">
        <v>1</v>
      </c>
      <c r="V251" s="32" t="n">
        <v>0</v>
      </c>
      <c r="W251" s="32" t="n">
        <v>0</v>
      </c>
      <c r="X251" s="32" t="n">
        <v>0</v>
      </c>
      <c r="Y251" s="32" t="n">
        <v>0</v>
      </c>
      <c r="Z251" s="32" t="n">
        <v>0</v>
      </c>
      <c r="AA251" s="32" t="n">
        <v>0</v>
      </c>
      <c r="AB251" s="32" t="n">
        <v>0</v>
      </c>
      <c r="AC251" s="30" t="s">
        <v>352</v>
      </c>
      <c r="AD251" s="37" t="n">
        <f aca="false">B251-B250</f>
        <v>0.125</v>
      </c>
    </row>
    <row r="252" customFormat="false" ht="15" hidden="false" customHeight="false" outlineLevel="0" collapsed="false">
      <c r="A252" s="33" t="n">
        <v>249</v>
      </c>
      <c r="B252" s="34" t="n">
        <f aca="false">Summary!$B$5+IF(D252=1,0,IF(C252=1,Summary!$B$6,NA()))+(MATCH(1,E252:L252,0)-1)*Summary!$B$7+(MATCH(1,M252:T252,0)-1)*Summary!$B$8+(MATCH(1,U252:AB252,0)-1)*Summary!$B$9</f>
        <v>61.125</v>
      </c>
      <c r="C252" s="35" t="n">
        <v>0</v>
      </c>
      <c r="D252" s="35" t="n">
        <v>1</v>
      </c>
      <c r="E252" s="35" t="n">
        <v>0</v>
      </c>
      <c r="F252" s="35" t="n">
        <v>0</v>
      </c>
      <c r="G252" s="35" t="n">
        <v>0</v>
      </c>
      <c r="H252" s="35" t="n">
        <v>1</v>
      </c>
      <c r="I252" s="35" t="n">
        <v>0</v>
      </c>
      <c r="J252" s="35" t="n">
        <v>0</v>
      </c>
      <c r="K252" s="35" t="n">
        <v>0</v>
      </c>
      <c r="L252" s="35" t="n">
        <v>0</v>
      </c>
      <c r="M252" s="35" t="n">
        <v>0</v>
      </c>
      <c r="N252" s="35" t="n">
        <v>0</v>
      </c>
      <c r="O252" s="35" t="n">
        <v>0</v>
      </c>
      <c r="P252" s="35" t="n">
        <v>0</v>
      </c>
      <c r="Q252" s="35" t="n">
        <v>0</v>
      </c>
      <c r="R252" s="35" t="n">
        <v>0</v>
      </c>
      <c r="S252" s="35" t="n">
        <v>0</v>
      </c>
      <c r="T252" s="35" t="n">
        <v>1</v>
      </c>
      <c r="U252" s="35" t="n">
        <v>0</v>
      </c>
      <c r="V252" s="35" t="n">
        <v>1</v>
      </c>
      <c r="W252" s="35" t="n">
        <v>0</v>
      </c>
      <c r="X252" s="35" t="n">
        <v>0</v>
      </c>
      <c r="Y252" s="35" t="n">
        <v>0</v>
      </c>
      <c r="Z252" s="35" t="n">
        <v>0</v>
      </c>
      <c r="AA252" s="35" t="n">
        <v>0</v>
      </c>
      <c r="AB252" s="35" t="n">
        <v>0</v>
      </c>
      <c r="AC252" s="33" t="s">
        <v>353</v>
      </c>
      <c r="AD252" s="36" t="n">
        <f aca="false">B252-B251</f>
        <v>0.125</v>
      </c>
    </row>
    <row r="253" customFormat="false" ht="15" hidden="false" customHeight="false" outlineLevel="0" collapsed="false">
      <c r="A253" s="30" t="n">
        <v>250</v>
      </c>
      <c r="B253" s="31" t="n">
        <f aca="false">Summary!$B$5+IF(D253=1,0,IF(C253=1,Summary!$B$6,NA()))+(MATCH(1,E253:L253,0)-1)*Summary!$B$7+(MATCH(1,M253:T253,0)-1)*Summary!$B$8+(MATCH(1,U253:AB253,0)-1)*Summary!$B$9</f>
        <v>61.25</v>
      </c>
      <c r="C253" s="32" t="n">
        <v>0</v>
      </c>
      <c r="D253" s="32" t="n">
        <v>1</v>
      </c>
      <c r="E253" s="32" t="n">
        <v>0</v>
      </c>
      <c r="F253" s="32" t="n">
        <v>0</v>
      </c>
      <c r="G253" s="32" t="n">
        <v>0</v>
      </c>
      <c r="H253" s="32" t="n">
        <v>1</v>
      </c>
      <c r="I253" s="32" t="n">
        <v>0</v>
      </c>
      <c r="J253" s="32" t="n">
        <v>0</v>
      </c>
      <c r="K253" s="32" t="n">
        <v>0</v>
      </c>
      <c r="L253" s="32" t="n">
        <v>0</v>
      </c>
      <c r="M253" s="32" t="n">
        <v>0</v>
      </c>
      <c r="N253" s="32" t="n">
        <v>0</v>
      </c>
      <c r="O253" s="32" t="n">
        <v>0</v>
      </c>
      <c r="P253" s="32" t="n">
        <v>0</v>
      </c>
      <c r="Q253" s="32" t="n">
        <v>0</v>
      </c>
      <c r="R253" s="32" t="n">
        <v>0</v>
      </c>
      <c r="S253" s="32" t="n">
        <v>0</v>
      </c>
      <c r="T253" s="32" t="n">
        <v>1</v>
      </c>
      <c r="U253" s="32" t="n">
        <v>0</v>
      </c>
      <c r="V253" s="32" t="n">
        <v>0</v>
      </c>
      <c r="W253" s="32" t="n">
        <v>1</v>
      </c>
      <c r="X253" s="32" t="n">
        <v>0</v>
      </c>
      <c r="Y253" s="32" t="n">
        <v>0</v>
      </c>
      <c r="Z253" s="32" t="n">
        <v>0</v>
      </c>
      <c r="AA253" s="32" t="n">
        <v>0</v>
      </c>
      <c r="AB253" s="32" t="n">
        <v>0</v>
      </c>
      <c r="AC253" s="30" t="s">
        <v>354</v>
      </c>
      <c r="AD253" s="37" t="n">
        <f aca="false">B253-B252</f>
        <v>0.125</v>
      </c>
    </row>
    <row r="254" customFormat="false" ht="15" hidden="false" customHeight="false" outlineLevel="0" collapsed="false">
      <c r="A254" s="33" t="n">
        <v>251</v>
      </c>
      <c r="B254" s="34" t="n">
        <f aca="false">Summary!$B$5+IF(D254=1,0,IF(C254=1,Summary!$B$6,NA()))+(MATCH(1,E254:L254,0)-1)*Summary!$B$7+(MATCH(1,M254:T254,0)-1)*Summary!$B$8+(MATCH(1,U254:AB254,0)-1)*Summary!$B$9</f>
        <v>61.375</v>
      </c>
      <c r="C254" s="35" t="n">
        <v>0</v>
      </c>
      <c r="D254" s="35" t="n">
        <v>1</v>
      </c>
      <c r="E254" s="35" t="n">
        <v>0</v>
      </c>
      <c r="F254" s="35" t="n">
        <v>0</v>
      </c>
      <c r="G254" s="35" t="n">
        <v>0</v>
      </c>
      <c r="H254" s="35" t="n">
        <v>1</v>
      </c>
      <c r="I254" s="35" t="n">
        <v>0</v>
      </c>
      <c r="J254" s="35" t="n">
        <v>0</v>
      </c>
      <c r="K254" s="35" t="n">
        <v>0</v>
      </c>
      <c r="L254" s="35" t="n">
        <v>0</v>
      </c>
      <c r="M254" s="35" t="n">
        <v>0</v>
      </c>
      <c r="N254" s="35" t="n">
        <v>0</v>
      </c>
      <c r="O254" s="35" t="n">
        <v>0</v>
      </c>
      <c r="P254" s="35" t="n">
        <v>0</v>
      </c>
      <c r="Q254" s="35" t="n">
        <v>0</v>
      </c>
      <c r="R254" s="35" t="n">
        <v>0</v>
      </c>
      <c r="S254" s="35" t="n">
        <v>0</v>
      </c>
      <c r="T254" s="35" t="n">
        <v>1</v>
      </c>
      <c r="U254" s="35" t="n">
        <v>0</v>
      </c>
      <c r="V254" s="35" t="n">
        <v>0</v>
      </c>
      <c r="W254" s="35" t="n">
        <v>0</v>
      </c>
      <c r="X254" s="35" t="n">
        <v>1</v>
      </c>
      <c r="Y254" s="35" t="n">
        <v>0</v>
      </c>
      <c r="Z254" s="35" t="n">
        <v>0</v>
      </c>
      <c r="AA254" s="35" t="n">
        <v>0</v>
      </c>
      <c r="AB254" s="35" t="n">
        <v>0</v>
      </c>
      <c r="AC254" s="33" t="s">
        <v>355</v>
      </c>
      <c r="AD254" s="36" t="n">
        <f aca="false">B254-B253</f>
        <v>0.125</v>
      </c>
    </row>
    <row r="255" customFormat="false" ht="15" hidden="false" customHeight="false" outlineLevel="0" collapsed="false">
      <c r="A255" s="30" t="n">
        <v>252</v>
      </c>
      <c r="B255" s="31" t="n">
        <f aca="false">Summary!$B$5+IF(D255=1,0,IF(C255=1,Summary!$B$6,NA()))+(MATCH(1,E255:L255,0)-1)*Summary!$B$7+(MATCH(1,M255:T255,0)-1)*Summary!$B$8+(MATCH(1,U255:AB255,0)-1)*Summary!$B$9</f>
        <v>61.5</v>
      </c>
      <c r="C255" s="32" t="n">
        <v>0</v>
      </c>
      <c r="D255" s="32" t="n">
        <v>1</v>
      </c>
      <c r="E255" s="32" t="n">
        <v>0</v>
      </c>
      <c r="F255" s="32" t="n">
        <v>0</v>
      </c>
      <c r="G255" s="32" t="n">
        <v>0</v>
      </c>
      <c r="H255" s="32" t="n">
        <v>1</v>
      </c>
      <c r="I255" s="32" t="n">
        <v>0</v>
      </c>
      <c r="J255" s="32" t="n">
        <v>0</v>
      </c>
      <c r="K255" s="32" t="n">
        <v>0</v>
      </c>
      <c r="L255" s="32" t="n">
        <v>0</v>
      </c>
      <c r="M255" s="32" t="n">
        <v>0</v>
      </c>
      <c r="N255" s="32" t="n">
        <v>0</v>
      </c>
      <c r="O255" s="32" t="n">
        <v>0</v>
      </c>
      <c r="P255" s="32" t="n">
        <v>0</v>
      </c>
      <c r="Q255" s="32" t="n">
        <v>0</v>
      </c>
      <c r="R255" s="32" t="n">
        <v>0</v>
      </c>
      <c r="S255" s="32" t="n">
        <v>0</v>
      </c>
      <c r="T255" s="32" t="n">
        <v>1</v>
      </c>
      <c r="U255" s="32" t="n">
        <v>0</v>
      </c>
      <c r="V255" s="32" t="n">
        <v>0</v>
      </c>
      <c r="W255" s="32" t="n">
        <v>0</v>
      </c>
      <c r="X255" s="32" t="n">
        <v>0</v>
      </c>
      <c r="Y255" s="32" t="n">
        <v>1</v>
      </c>
      <c r="Z255" s="32" t="n">
        <v>0</v>
      </c>
      <c r="AA255" s="32" t="n">
        <v>0</v>
      </c>
      <c r="AB255" s="32" t="n">
        <v>0</v>
      </c>
      <c r="AC255" s="30" t="s">
        <v>356</v>
      </c>
      <c r="AD255" s="37" t="n">
        <f aca="false">B255-B254</f>
        <v>0.125</v>
      </c>
    </row>
    <row r="256" customFormat="false" ht="15" hidden="false" customHeight="false" outlineLevel="0" collapsed="false">
      <c r="A256" s="33" t="n">
        <v>253</v>
      </c>
      <c r="B256" s="34" t="n">
        <f aca="false">Summary!$B$5+IF(D256=1,0,IF(C256=1,Summary!$B$6,NA()))+(MATCH(1,E256:L256,0)-1)*Summary!$B$7+(MATCH(1,M256:T256,0)-1)*Summary!$B$8+(MATCH(1,U256:AB256,0)-1)*Summary!$B$9</f>
        <v>61.625</v>
      </c>
      <c r="C256" s="35" t="n">
        <v>0</v>
      </c>
      <c r="D256" s="35" t="n">
        <v>1</v>
      </c>
      <c r="E256" s="35" t="n">
        <v>0</v>
      </c>
      <c r="F256" s="35" t="n">
        <v>0</v>
      </c>
      <c r="G256" s="35" t="n">
        <v>0</v>
      </c>
      <c r="H256" s="35" t="n">
        <v>1</v>
      </c>
      <c r="I256" s="35" t="n">
        <v>0</v>
      </c>
      <c r="J256" s="35" t="n">
        <v>0</v>
      </c>
      <c r="K256" s="35" t="n">
        <v>0</v>
      </c>
      <c r="L256" s="35" t="n">
        <v>0</v>
      </c>
      <c r="M256" s="35" t="n">
        <v>0</v>
      </c>
      <c r="N256" s="35" t="n">
        <v>0</v>
      </c>
      <c r="O256" s="35" t="n">
        <v>0</v>
      </c>
      <c r="P256" s="35" t="n">
        <v>0</v>
      </c>
      <c r="Q256" s="35" t="n">
        <v>0</v>
      </c>
      <c r="R256" s="35" t="n">
        <v>0</v>
      </c>
      <c r="S256" s="35" t="n">
        <v>0</v>
      </c>
      <c r="T256" s="35" t="n">
        <v>1</v>
      </c>
      <c r="U256" s="35" t="n">
        <v>0</v>
      </c>
      <c r="V256" s="35" t="n">
        <v>0</v>
      </c>
      <c r="W256" s="35" t="n">
        <v>0</v>
      </c>
      <c r="X256" s="35" t="n">
        <v>0</v>
      </c>
      <c r="Y256" s="35" t="n">
        <v>0</v>
      </c>
      <c r="Z256" s="35" t="n">
        <v>1</v>
      </c>
      <c r="AA256" s="35" t="n">
        <v>0</v>
      </c>
      <c r="AB256" s="35" t="n">
        <v>0</v>
      </c>
      <c r="AC256" s="33" t="s">
        <v>357</v>
      </c>
      <c r="AD256" s="36" t="n">
        <f aca="false">B256-B255</f>
        <v>0.125</v>
      </c>
    </row>
    <row r="257" customFormat="false" ht="15" hidden="false" customHeight="false" outlineLevel="0" collapsed="false">
      <c r="A257" s="30" t="n">
        <v>254</v>
      </c>
      <c r="B257" s="31" t="n">
        <f aca="false">Summary!$B$5+IF(D257=1,0,IF(C257=1,Summary!$B$6,NA()))+(MATCH(1,E257:L257,0)-1)*Summary!$B$7+(MATCH(1,M257:T257,0)-1)*Summary!$B$8+(MATCH(1,U257:AB257,0)-1)*Summary!$B$9</f>
        <v>61.75</v>
      </c>
      <c r="C257" s="32" t="n">
        <v>0</v>
      </c>
      <c r="D257" s="32" t="n">
        <v>1</v>
      </c>
      <c r="E257" s="32" t="n">
        <v>0</v>
      </c>
      <c r="F257" s="32" t="n">
        <v>0</v>
      </c>
      <c r="G257" s="32" t="n">
        <v>0</v>
      </c>
      <c r="H257" s="32" t="n">
        <v>1</v>
      </c>
      <c r="I257" s="32" t="n">
        <v>0</v>
      </c>
      <c r="J257" s="32" t="n">
        <v>0</v>
      </c>
      <c r="K257" s="32" t="n">
        <v>0</v>
      </c>
      <c r="L257" s="32" t="n">
        <v>0</v>
      </c>
      <c r="M257" s="32" t="n">
        <v>0</v>
      </c>
      <c r="N257" s="32" t="n">
        <v>0</v>
      </c>
      <c r="O257" s="32" t="n">
        <v>0</v>
      </c>
      <c r="P257" s="32" t="n">
        <v>0</v>
      </c>
      <c r="Q257" s="32" t="n">
        <v>0</v>
      </c>
      <c r="R257" s="32" t="n">
        <v>0</v>
      </c>
      <c r="S257" s="32" t="n">
        <v>0</v>
      </c>
      <c r="T257" s="32" t="n">
        <v>1</v>
      </c>
      <c r="U257" s="32" t="n">
        <v>0</v>
      </c>
      <c r="V257" s="32" t="n">
        <v>0</v>
      </c>
      <c r="W257" s="32" t="n">
        <v>0</v>
      </c>
      <c r="X257" s="32" t="n">
        <v>0</v>
      </c>
      <c r="Y257" s="32" t="n">
        <v>0</v>
      </c>
      <c r="Z257" s="32" t="n">
        <v>0</v>
      </c>
      <c r="AA257" s="32" t="n">
        <v>1</v>
      </c>
      <c r="AB257" s="32" t="n">
        <v>0</v>
      </c>
      <c r="AC257" s="30" t="s">
        <v>358</v>
      </c>
      <c r="AD257" s="37" t="n">
        <f aca="false">B257-B256</f>
        <v>0.125</v>
      </c>
    </row>
    <row r="258" customFormat="false" ht="15" hidden="false" customHeight="false" outlineLevel="0" collapsed="false">
      <c r="A258" s="33" t="n">
        <v>255</v>
      </c>
      <c r="B258" s="34" t="n">
        <f aca="false">Summary!$B$5+IF(D258=1,0,IF(C258=1,Summary!$B$6,NA()))+(MATCH(1,E258:L258,0)-1)*Summary!$B$7+(MATCH(1,M258:T258,0)-1)*Summary!$B$8+(MATCH(1,U258:AB258,0)-1)*Summary!$B$9</f>
        <v>61.875</v>
      </c>
      <c r="C258" s="35" t="n">
        <v>0</v>
      </c>
      <c r="D258" s="35" t="n">
        <v>1</v>
      </c>
      <c r="E258" s="35" t="n">
        <v>0</v>
      </c>
      <c r="F258" s="35" t="n">
        <v>0</v>
      </c>
      <c r="G258" s="35" t="n">
        <v>0</v>
      </c>
      <c r="H258" s="35" t="n">
        <v>1</v>
      </c>
      <c r="I258" s="35" t="n">
        <v>0</v>
      </c>
      <c r="J258" s="35" t="n">
        <v>0</v>
      </c>
      <c r="K258" s="35" t="n">
        <v>0</v>
      </c>
      <c r="L258" s="35" t="n">
        <v>0</v>
      </c>
      <c r="M258" s="35" t="n">
        <v>0</v>
      </c>
      <c r="N258" s="35" t="n">
        <v>0</v>
      </c>
      <c r="O258" s="35" t="n">
        <v>0</v>
      </c>
      <c r="P258" s="35" t="n">
        <v>0</v>
      </c>
      <c r="Q258" s="35" t="n">
        <v>0</v>
      </c>
      <c r="R258" s="35" t="n">
        <v>0</v>
      </c>
      <c r="S258" s="35" t="n">
        <v>0</v>
      </c>
      <c r="T258" s="35" t="n">
        <v>1</v>
      </c>
      <c r="U258" s="35" t="n">
        <v>0</v>
      </c>
      <c r="V258" s="35" t="n">
        <v>0</v>
      </c>
      <c r="W258" s="35" t="n">
        <v>0</v>
      </c>
      <c r="X258" s="35" t="n">
        <v>0</v>
      </c>
      <c r="Y258" s="35" t="n">
        <v>0</v>
      </c>
      <c r="Z258" s="35" t="n">
        <v>0</v>
      </c>
      <c r="AA258" s="35" t="n">
        <v>0</v>
      </c>
      <c r="AB258" s="35" t="n">
        <v>1</v>
      </c>
      <c r="AC258" s="33" t="s">
        <v>359</v>
      </c>
      <c r="AD258" s="36" t="n">
        <f aca="false">B258-B257</f>
        <v>0.125</v>
      </c>
    </row>
    <row r="259" customFormat="false" ht="15" hidden="false" customHeight="false" outlineLevel="0" collapsed="false">
      <c r="A259" s="30" t="n">
        <v>256</v>
      </c>
      <c r="B259" s="31" t="n">
        <f aca="false">Summary!$B$5+IF(D259=1,0,IF(C259=1,Summary!$B$6,NA()))+(MATCH(1,E259:L259,0)-1)*Summary!$B$7+(MATCH(1,M259:T259,0)-1)*Summary!$B$8+(MATCH(1,U259:AB259,0)-1)*Summary!$B$9</f>
        <v>62</v>
      </c>
      <c r="C259" s="32" t="n">
        <v>0</v>
      </c>
      <c r="D259" s="32" t="n">
        <v>1</v>
      </c>
      <c r="E259" s="32" t="n">
        <v>0</v>
      </c>
      <c r="F259" s="32" t="n">
        <v>0</v>
      </c>
      <c r="G259" s="32" t="n">
        <v>0</v>
      </c>
      <c r="H259" s="32" t="n">
        <v>0</v>
      </c>
      <c r="I259" s="32" t="n">
        <v>1</v>
      </c>
      <c r="J259" s="32" t="n">
        <v>0</v>
      </c>
      <c r="K259" s="32" t="n">
        <v>0</v>
      </c>
      <c r="L259" s="32" t="n">
        <v>0</v>
      </c>
      <c r="M259" s="32" t="n">
        <v>1</v>
      </c>
      <c r="N259" s="32" t="n">
        <v>0</v>
      </c>
      <c r="O259" s="32" t="n">
        <v>0</v>
      </c>
      <c r="P259" s="32" t="n">
        <v>0</v>
      </c>
      <c r="Q259" s="32" t="n">
        <v>0</v>
      </c>
      <c r="R259" s="32" t="n">
        <v>0</v>
      </c>
      <c r="S259" s="32" t="n">
        <v>0</v>
      </c>
      <c r="T259" s="32" t="n">
        <v>0</v>
      </c>
      <c r="U259" s="32" t="n">
        <v>1</v>
      </c>
      <c r="V259" s="32" t="n">
        <v>0</v>
      </c>
      <c r="W259" s="32" t="n">
        <v>0</v>
      </c>
      <c r="X259" s="32" t="n">
        <v>0</v>
      </c>
      <c r="Y259" s="32" t="n">
        <v>0</v>
      </c>
      <c r="Z259" s="32" t="n">
        <v>0</v>
      </c>
      <c r="AA259" s="32" t="n">
        <v>0</v>
      </c>
      <c r="AB259" s="32" t="n">
        <v>0</v>
      </c>
      <c r="AC259" s="30" t="s">
        <v>360</v>
      </c>
      <c r="AD259" s="37" t="n">
        <f aca="false">B259-B258</f>
        <v>0.125</v>
      </c>
    </row>
    <row r="260" customFormat="false" ht="15" hidden="false" customHeight="false" outlineLevel="0" collapsed="false">
      <c r="A260" s="33" t="n">
        <v>257</v>
      </c>
      <c r="B260" s="34" t="n">
        <f aca="false">Summary!$B$5+IF(D260=1,0,IF(C260=1,Summary!$B$6,NA()))+(MATCH(1,E260:L260,0)-1)*Summary!$B$7+(MATCH(1,M260:T260,0)-1)*Summary!$B$8+(MATCH(1,U260:AB260,0)-1)*Summary!$B$9</f>
        <v>62.125</v>
      </c>
      <c r="C260" s="35" t="n">
        <v>0</v>
      </c>
      <c r="D260" s="35" t="n">
        <v>1</v>
      </c>
      <c r="E260" s="35" t="n">
        <v>0</v>
      </c>
      <c r="F260" s="35" t="n">
        <v>0</v>
      </c>
      <c r="G260" s="35" t="n">
        <v>0</v>
      </c>
      <c r="H260" s="35" t="n">
        <v>0</v>
      </c>
      <c r="I260" s="35" t="n">
        <v>1</v>
      </c>
      <c r="J260" s="35" t="n">
        <v>0</v>
      </c>
      <c r="K260" s="35" t="n">
        <v>0</v>
      </c>
      <c r="L260" s="35" t="n">
        <v>0</v>
      </c>
      <c r="M260" s="35" t="n">
        <v>1</v>
      </c>
      <c r="N260" s="35" t="n">
        <v>0</v>
      </c>
      <c r="O260" s="35" t="n">
        <v>0</v>
      </c>
      <c r="P260" s="35" t="n">
        <v>0</v>
      </c>
      <c r="Q260" s="35" t="n">
        <v>0</v>
      </c>
      <c r="R260" s="35" t="n">
        <v>0</v>
      </c>
      <c r="S260" s="35" t="n">
        <v>0</v>
      </c>
      <c r="T260" s="35" t="n">
        <v>0</v>
      </c>
      <c r="U260" s="35" t="n">
        <v>0</v>
      </c>
      <c r="V260" s="35" t="n">
        <v>1</v>
      </c>
      <c r="W260" s="35" t="n">
        <v>0</v>
      </c>
      <c r="X260" s="35" t="n">
        <v>0</v>
      </c>
      <c r="Y260" s="35" t="n">
        <v>0</v>
      </c>
      <c r="Z260" s="35" t="n">
        <v>0</v>
      </c>
      <c r="AA260" s="35" t="n">
        <v>0</v>
      </c>
      <c r="AB260" s="35" t="n">
        <v>0</v>
      </c>
      <c r="AC260" s="33" t="s">
        <v>361</v>
      </c>
      <c r="AD260" s="36" t="n">
        <f aca="false">B260-B259</f>
        <v>0.125</v>
      </c>
    </row>
    <row r="261" customFormat="false" ht="15" hidden="false" customHeight="false" outlineLevel="0" collapsed="false">
      <c r="A261" s="30" t="n">
        <v>258</v>
      </c>
      <c r="B261" s="31" t="n">
        <f aca="false">Summary!$B$5+IF(D261=1,0,IF(C261=1,Summary!$B$6,NA()))+(MATCH(1,E261:L261,0)-1)*Summary!$B$7+(MATCH(1,M261:T261,0)-1)*Summary!$B$8+(MATCH(1,U261:AB261,0)-1)*Summary!$B$9</f>
        <v>62.25</v>
      </c>
      <c r="C261" s="32" t="n">
        <v>0</v>
      </c>
      <c r="D261" s="32" t="n">
        <v>1</v>
      </c>
      <c r="E261" s="32" t="n">
        <v>0</v>
      </c>
      <c r="F261" s="32" t="n">
        <v>0</v>
      </c>
      <c r="G261" s="32" t="n">
        <v>0</v>
      </c>
      <c r="H261" s="32" t="n">
        <v>0</v>
      </c>
      <c r="I261" s="32" t="n">
        <v>1</v>
      </c>
      <c r="J261" s="32" t="n">
        <v>0</v>
      </c>
      <c r="K261" s="32" t="n">
        <v>0</v>
      </c>
      <c r="L261" s="32" t="n">
        <v>0</v>
      </c>
      <c r="M261" s="32" t="n">
        <v>1</v>
      </c>
      <c r="N261" s="32" t="n">
        <v>0</v>
      </c>
      <c r="O261" s="32" t="n">
        <v>0</v>
      </c>
      <c r="P261" s="32" t="n">
        <v>0</v>
      </c>
      <c r="Q261" s="32" t="n">
        <v>0</v>
      </c>
      <c r="R261" s="32" t="n">
        <v>0</v>
      </c>
      <c r="S261" s="32" t="n">
        <v>0</v>
      </c>
      <c r="T261" s="32" t="n">
        <v>0</v>
      </c>
      <c r="U261" s="32" t="n">
        <v>0</v>
      </c>
      <c r="V261" s="32" t="n">
        <v>0</v>
      </c>
      <c r="W261" s="32" t="n">
        <v>1</v>
      </c>
      <c r="X261" s="32" t="n">
        <v>0</v>
      </c>
      <c r="Y261" s="32" t="n">
        <v>0</v>
      </c>
      <c r="Z261" s="32" t="n">
        <v>0</v>
      </c>
      <c r="AA261" s="32" t="n">
        <v>0</v>
      </c>
      <c r="AB261" s="32" t="n">
        <v>0</v>
      </c>
      <c r="AC261" s="30" t="s">
        <v>362</v>
      </c>
      <c r="AD261" s="37" t="n">
        <f aca="false">B261-B260</f>
        <v>0.125</v>
      </c>
    </row>
    <row r="262" customFormat="false" ht="15" hidden="false" customHeight="false" outlineLevel="0" collapsed="false">
      <c r="A262" s="33" t="n">
        <v>259</v>
      </c>
      <c r="B262" s="34" t="n">
        <f aca="false">Summary!$B$5+IF(D262=1,0,IF(C262=1,Summary!$B$6,NA()))+(MATCH(1,E262:L262,0)-1)*Summary!$B$7+(MATCH(1,M262:T262,0)-1)*Summary!$B$8+(MATCH(1,U262:AB262,0)-1)*Summary!$B$9</f>
        <v>62.375</v>
      </c>
      <c r="C262" s="35" t="n">
        <v>0</v>
      </c>
      <c r="D262" s="35" t="n">
        <v>1</v>
      </c>
      <c r="E262" s="35" t="n">
        <v>0</v>
      </c>
      <c r="F262" s="35" t="n">
        <v>0</v>
      </c>
      <c r="G262" s="35" t="n">
        <v>0</v>
      </c>
      <c r="H262" s="35" t="n">
        <v>0</v>
      </c>
      <c r="I262" s="35" t="n">
        <v>1</v>
      </c>
      <c r="J262" s="35" t="n">
        <v>0</v>
      </c>
      <c r="K262" s="35" t="n">
        <v>0</v>
      </c>
      <c r="L262" s="35" t="n">
        <v>0</v>
      </c>
      <c r="M262" s="35" t="n">
        <v>1</v>
      </c>
      <c r="N262" s="35" t="n">
        <v>0</v>
      </c>
      <c r="O262" s="35" t="n">
        <v>0</v>
      </c>
      <c r="P262" s="35" t="n">
        <v>0</v>
      </c>
      <c r="Q262" s="35" t="n">
        <v>0</v>
      </c>
      <c r="R262" s="35" t="n">
        <v>0</v>
      </c>
      <c r="S262" s="35" t="n">
        <v>0</v>
      </c>
      <c r="T262" s="35" t="n">
        <v>0</v>
      </c>
      <c r="U262" s="35" t="n">
        <v>0</v>
      </c>
      <c r="V262" s="35" t="n">
        <v>0</v>
      </c>
      <c r="W262" s="35" t="n">
        <v>0</v>
      </c>
      <c r="X262" s="35" t="n">
        <v>1</v>
      </c>
      <c r="Y262" s="35" t="n">
        <v>0</v>
      </c>
      <c r="Z262" s="35" t="n">
        <v>0</v>
      </c>
      <c r="AA262" s="35" t="n">
        <v>0</v>
      </c>
      <c r="AB262" s="35" t="n">
        <v>0</v>
      </c>
      <c r="AC262" s="33" t="s">
        <v>363</v>
      </c>
      <c r="AD262" s="36" t="n">
        <f aca="false">B262-B261</f>
        <v>0.125</v>
      </c>
    </row>
    <row r="263" customFormat="false" ht="15" hidden="false" customHeight="false" outlineLevel="0" collapsed="false">
      <c r="A263" s="30" t="n">
        <v>260</v>
      </c>
      <c r="B263" s="31" t="n">
        <f aca="false">Summary!$B$5+IF(D263=1,0,IF(C263=1,Summary!$B$6,NA()))+(MATCH(1,E263:L263,0)-1)*Summary!$B$7+(MATCH(1,M263:T263,0)-1)*Summary!$B$8+(MATCH(1,U263:AB263,0)-1)*Summary!$B$9</f>
        <v>62.5</v>
      </c>
      <c r="C263" s="32" t="n">
        <v>0</v>
      </c>
      <c r="D263" s="32" t="n">
        <v>1</v>
      </c>
      <c r="E263" s="32" t="n">
        <v>0</v>
      </c>
      <c r="F263" s="32" t="n">
        <v>0</v>
      </c>
      <c r="G263" s="32" t="n">
        <v>0</v>
      </c>
      <c r="H263" s="32" t="n">
        <v>0</v>
      </c>
      <c r="I263" s="32" t="n">
        <v>1</v>
      </c>
      <c r="J263" s="32" t="n">
        <v>0</v>
      </c>
      <c r="K263" s="32" t="n">
        <v>0</v>
      </c>
      <c r="L263" s="32" t="n">
        <v>0</v>
      </c>
      <c r="M263" s="32" t="n">
        <v>1</v>
      </c>
      <c r="N263" s="32" t="n">
        <v>0</v>
      </c>
      <c r="O263" s="32" t="n">
        <v>0</v>
      </c>
      <c r="P263" s="32" t="n">
        <v>0</v>
      </c>
      <c r="Q263" s="32" t="n">
        <v>0</v>
      </c>
      <c r="R263" s="32" t="n">
        <v>0</v>
      </c>
      <c r="S263" s="32" t="n">
        <v>0</v>
      </c>
      <c r="T263" s="32" t="n">
        <v>0</v>
      </c>
      <c r="U263" s="32" t="n">
        <v>0</v>
      </c>
      <c r="V263" s="32" t="n">
        <v>0</v>
      </c>
      <c r="W263" s="32" t="n">
        <v>0</v>
      </c>
      <c r="X263" s="32" t="n">
        <v>0</v>
      </c>
      <c r="Y263" s="32" t="n">
        <v>1</v>
      </c>
      <c r="Z263" s="32" t="n">
        <v>0</v>
      </c>
      <c r="AA263" s="32" t="n">
        <v>0</v>
      </c>
      <c r="AB263" s="32" t="n">
        <v>0</v>
      </c>
      <c r="AC263" s="30" t="s">
        <v>364</v>
      </c>
      <c r="AD263" s="37" t="n">
        <f aca="false">B263-B262</f>
        <v>0.125</v>
      </c>
    </row>
    <row r="264" customFormat="false" ht="15" hidden="false" customHeight="false" outlineLevel="0" collapsed="false">
      <c r="A264" s="33" t="n">
        <v>261</v>
      </c>
      <c r="B264" s="34" t="n">
        <f aca="false">Summary!$B$5+IF(D264=1,0,IF(C264=1,Summary!$B$6,NA()))+(MATCH(1,E264:L264,0)-1)*Summary!$B$7+(MATCH(1,M264:T264,0)-1)*Summary!$B$8+(MATCH(1,U264:AB264,0)-1)*Summary!$B$9</f>
        <v>62.625</v>
      </c>
      <c r="C264" s="35" t="n">
        <v>0</v>
      </c>
      <c r="D264" s="35" t="n">
        <v>1</v>
      </c>
      <c r="E264" s="35" t="n">
        <v>0</v>
      </c>
      <c r="F264" s="35" t="n">
        <v>0</v>
      </c>
      <c r="G264" s="35" t="n">
        <v>0</v>
      </c>
      <c r="H264" s="35" t="n">
        <v>0</v>
      </c>
      <c r="I264" s="35" t="n">
        <v>1</v>
      </c>
      <c r="J264" s="35" t="n">
        <v>0</v>
      </c>
      <c r="K264" s="35" t="n">
        <v>0</v>
      </c>
      <c r="L264" s="35" t="n">
        <v>0</v>
      </c>
      <c r="M264" s="35" t="n">
        <v>1</v>
      </c>
      <c r="N264" s="35" t="n">
        <v>0</v>
      </c>
      <c r="O264" s="35" t="n">
        <v>0</v>
      </c>
      <c r="P264" s="35" t="n">
        <v>0</v>
      </c>
      <c r="Q264" s="35" t="n">
        <v>0</v>
      </c>
      <c r="R264" s="35" t="n">
        <v>0</v>
      </c>
      <c r="S264" s="35" t="n">
        <v>0</v>
      </c>
      <c r="T264" s="35" t="n">
        <v>0</v>
      </c>
      <c r="U264" s="35" t="n">
        <v>0</v>
      </c>
      <c r="V264" s="35" t="n">
        <v>0</v>
      </c>
      <c r="W264" s="35" t="n">
        <v>0</v>
      </c>
      <c r="X264" s="35" t="n">
        <v>0</v>
      </c>
      <c r="Y264" s="35" t="n">
        <v>0</v>
      </c>
      <c r="Z264" s="35" t="n">
        <v>1</v>
      </c>
      <c r="AA264" s="35" t="n">
        <v>0</v>
      </c>
      <c r="AB264" s="35" t="n">
        <v>0</v>
      </c>
      <c r="AC264" s="33" t="s">
        <v>365</v>
      </c>
      <c r="AD264" s="36" t="n">
        <f aca="false">B264-B263</f>
        <v>0.125</v>
      </c>
    </row>
    <row r="265" customFormat="false" ht="15" hidden="false" customHeight="false" outlineLevel="0" collapsed="false">
      <c r="A265" s="30" t="n">
        <v>262</v>
      </c>
      <c r="B265" s="31" t="n">
        <f aca="false">Summary!$B$5+IF(D265=1,0,IF(C265=1,Summary!$B$6,NA()))+(MATCH(1,E265:L265,0)-1)*Summary!$B$7+(MATCH(1,M265:T265,0)-1)*Summary!$B$8+(MATCH(1,U265:AB265,0)-1)*Summary!$B$9</f>
        <v>62.75</v>
      </c>
      <c r="C265" s="32" t="n">
        <v>0</v>
      </c>
      <c r="D265" s="32" t="n">
        <v>1</v>
      </c>
      <c r="E265" s="32" t="n">
        <v>0</v>
      </c>
      <c r="F265" s="32" t="n">
        <v>0</v>
      </c>
      <c r="G265" s="32" t="n">
        <v>0</v>
      </c>
      <c r="H265" s="32" t="n">
        <v>0</v>
      </c>
      <c r="I265" s="32" t="n">
        <v>1</v>
      </c>
      <c r="J265" s="32" t="n">
        <v>0</v>
      </c>
      <c r="K265" s="32" t="n">
        <v>0</v>
      </c>
      <c r="L265" s="32" t="n">
        <v>0</v>
      </c>
      <c r="M265" s="32" t="n">
        <v>1</v>
      </c>
      <c r="N265" s="32" t="n">
        <v>0</v>
      </c>
      <c r="O265" s="32" t="n">
        <v>0</v>
      </c>
      <c r="P265" s="32" t="n">
        <v>0</v>
      </c>
      <c r="Q265" s="32" t="n">
        <v>0</v>
      </c>
      <c r="R265" s="32" t="n">
        <v>0</v>
      </c>
      <c r="S265" s="32" t="n">
        <v>0</v>
      </c>
      <c r="T265" s="32" t="n">
        <v>0</v>
      </c>
      <c r="U265" s="32" t="n">
        <v>0</v>
      </c>
      <c r="V265" s="32" t="n">
        <v>0</v>
      </c>
      <c r="W265" s="32" t="n">
        <v>0</v>
      </c>
      <c r="X265" s="32" t="n">
        <v>0</v>
      </c>
      <c r="Y265" s="32" t="n">
        <v>0</v>
      </c>
      <c r="Z265" s="32" t="n">
        <v>0</v>
      </c>
      <c r="AA265" s="32" t="n">
        <v>1</v>
      </c>
      <c r="AB265" s="32" t="n">
        <v>0</v>
      </c>
      <c r="AC265" s="30" t="s">
        <v>366</v>
      </c>
      <c r="AD265" s="37" t="n">
        <f aca="false">B265-B264</f>
        <v>0.125</v>
      </c>
    </row>
    <row r="266" customFormat="false" ht="15" hidden="false" customHeight="false" outlineLevel="0" collapsed="false">
      <c r="A266" s="33" t="n">
        <v>263</v>
      </c>
      <c r="B266" s="34" t="n">
        <f aca="false">Summary!$B$5+IF(D266=1,0,IF(C266=1,Summary!$B$6,NA()))+(MATCH(1,E266:L266,0)-1)*Summary!$B$7+(MATCH(1,M266:T266,0)-1)*Summary!$B$8+(MATCH(1,U266:AB266,0)-1)*Summary!$B$9</f>
        <v>62.875</v>
      </c>
      <c r="C266" s="35" t="n">
        <v>0</v>
      </c>
      <c r="D266" s="35" t="n">
        <v>1</v>
      </c>
      <c r="E266" s="35" t="n">
        <v>0</v>
      </c>
      <c r="F266" s="35" t="n">
        <v>0</v>
      </c>
      <c r="G266" s="35" t="n">
        <v>0</v>
      </c>
      <c r="H266" s="35" t="n">
        <v>0</v>
      </c>
      <c r="I266" s="35" t="n">
        <v>1</v>
      </c>
      <c r="J266" s="35" t="n">
        <v>0</v>
      </c>
      <c r="K266" s="35" t="n">
        <v>0</v>
      </c>
      <c r="L266" s="35" t="n">
        <v>0</v>
      </c>
      <c r="M266" s="35" t="n">
        <v>1</v>
      </c>
      <c r="N266" s="35" t="n">
        <v>0</v>
      </c>
      <c r="O266" s="35" t="n">
        <v>0</v>
      </c>
      <c r="P266" s="35" t="n">
        <v>0</v>
      </c>
      <c r="Q266" s="35" t="n">
        <v>0</v>
      </c>
      <c r="R266" s="35" t="n">
        <v>0</v>
      </c>
      <c r="S266" s="35" t="n">
        <v>0</v>
      </c>
      <c r="T266" s="35" t="n">
        <v>0</v>
      </c>
      <c r="U266" s="35" t="n">
        <v>0</v>
      </c>
      <c r="V266" s="35" t="n">
        <v>0</v>
      </c>
      <c r="W266" s="35" t="n">
        <v>0</v>
      </c>
      <c r="X266" s="35" t="n">
        <v>0</v>
      </c>
      <c r="Y266" s="35" t="n">
        <v>0</v>
      </c>
      <c r="Z266" s="35" t="n">
        <v>0</v>
      </c>
      <c r="AA266" s="35" t="n">
        <v>0</v>
      </c>
      <c r="AB266" s="35" t="n">
        <v>1</v>
      </c>
      <c r="AC266" s="33" t="s">
        <v>367</v>
      </c>
      <c r="AD266" s="36" t="n">
        <f aca="false">B266-B265</f>
        <v>0.125</v>
      </c>
    </row>
    <row r="267" customFormat="false" ht="15" hidden="false" customHeight="false" outlineLevel="0" collapsed="false">
      <c r="A267" s="30" t="n">
        <v>264</v>
      </c>
      <c r="B267" s="31" t="n">
        <f aca="false">Summary!$B$5+IF(D267=1,0,IF(C267=1,Summary!$B$6,NA()))+(MATCH(1,E267:L267,0)-1)*Summary!$B$7+(MATCH(1,M267:T267,0)-1)*Summary!$B$8+(MATCH(1,U267:AB267,0)-1)*Summary!$B$9</f>
        <v>63</v>
      </c>
      <c r="C267" s="32" t="n">
        <v>0</v>
      </c>
      <c r="D267" s="32" t="n">
        <v>1</v>
      </c>
      <c r="E267" s="32" t="n">
        <v>0</v>
      </c>
      <c r="F267" s="32" t="n">
        <v>0</v>
      </c>
      <c r="G267" s="32" t="n">
        <v>0</v>
      </c>
      <c r="H267" s="32" t="n">
        <v>0</v>
      </c>
      <c r="I267" s="32" t="n">
        <v>1</v>
      </c>
      <c r="J267" s="32" t="n">
        <v>0</v>
      </c>
      <c r="K267" s="32" t="n">
        <v>0</v>
      </c>
      <c r="L267" s="32" t="n">
        <v>0</v>
      </c>
      <c r="M267" s="32" t="n">
        <v>0</v>
      </c>
      <c r="N267" s="32" t="n">
        <v>1</v>
      </c>
      <c r="O267" s="32" t="n">
        <v>0</v>
      </c>
      <c r="P267" s="32" t="n">
        <v>0</v>
      </c>
      <c r="Q267" s="32" t="n">
        <v>0</v>
      </c>
      <c r="R267" s="32" t="n">
        <v>0</v>
      </c>
      <c r="S267" s="32" t="n">
        <v>0</v>
      </c>
      <c r="T267" s="32" t="n">
        <v>0</v>
      </c>
      <c r="U267" s="32" t="n">
        <v>1</v>
      </c>
      <c r="V267" s="32" t="n">
        <v>0</v>
      </c>
      <c r="W267" s="32" t="n">
        <v>0</v>
      </c>
      <c r="X267" s="32" t="n">
        <v>0</v>
      </c>
      <c r="Y267" s="32" t="n">
        <v>0</v>
      </c>
      <c r="Z267" s="32" t="n">
        <v>0</v>
      </c>
      <c r="AA267" s="32" t="n">
        <v>0</v>
      </c>
      <c r="AB267" s="32" t="n">
        <v>0</v>
      </c>
      <c r="AC267" s="30" t="s">
        <v>368</v>
      </c>
      <c r="AD267" s="37" t="n">
        <f aca="false">B267-B266</f>
        <v>0.125</v>
      </c>
    </row>
    <row r="268" customFormat="false" ht="15" hidden="false" customHeight="false" outlineLevel="0" collapsed="false">
      <c r="A268" s="33" t="n">
        <v>265</v>
      </c>
      <c r="B268" s="34" t="n">
        <f aca="false">Summary!$B$5+IF(D268=1,0,IF(C268=1,Summary!$B$6,NA()))+(MATCH(1,E268:L268,0)-1)*Summary!$B$7+(MATCH(1,M268:T268,0)-1)*Summary!$B$8+(MATCH(1,U268:AB268,0)-1)*Summary!$B$9</f>
        <v>63.125</v>
      </c>
      <c r="C268" s="35" t="n">
        <v>0</v>
      </c>
      <c r="D268" s="35" t="n">
        <v>1</v>
      </c>
      <c r="E268" s="35" t="n">
        <v>0</v>
      </c>
      <c r="F268" s="35" t="n">
        <v>0</v>
      </c>
      <c r="G268" s="35" t="n">
        <v>0</v>
      </c>
      <c r="H268" s="35" t="n">
        <v>0</v>
      </c>
      <c r="I268" s="35" t="n">
        <v>1</v>
      </c>
      <c r="J268" s="35" t="n">
        <v>0</v>
      </c>
      <c r="K268" s="35" t="n">
        <v>0</v>
      </c>
      <c r="L268" s="35" t="n">
        <v>0</v>
      </c>
      <c r="M268" s="35" t="n">
        <v>0</v>
      </c>
      <c r="N268" s="35" t="n">
        <v>1</v>
      </c>
      <c r="O268" s="35" t="n">
        <v>0</v>
      </c>
      <c r="P268" s="35" t="n">
        <v>0</v>
      </c>
      <c r="Q268" s="35" t="n">
        <v>0</v>
      </c>
      <c r="R268" s="35" t="n">
        <v>0</v>
      </c>
      <c r="S268" s="35" t="n">
        <v>0</v>
      </c>
      <c r="T268" s="35" t="n">
        <v>0</v>
      </c>
      <c r="U268" s="35" t="n">
        <v>0</v>
      </c>
      <c r="V268" s="35" t="n">
        <v>1</v>
      </c>
      <c r="W268" s="35" t="n">
        <v>0</v>
      </c>
      <c r="X268" s="35" t="n">
        <v>0</v>
      </c>
      <c r="Y268" s="35" t="n">
        <v>0</v>
      </c>
      <c r="Z268" s="35" t="n">
        <v>0</v>
      </c>
      <c r="AA268" s="35" t="n">
        <v>0</v>
      </c>
      <c r="AB268" s="35" t="n">
        <v>0</v>
      </c>
      <c r="AC268" s="33" t="s">
        <v>369</v>
      </c>
      <c r="AD268" s="36" t="n">
        <f aca="false">B268-B267</f>
        <v>0.125</v>
      </c>
    </row>
    <row r="269" customFormat="false" ht="15" hidden="false" customHeight="false" outlineLevel="0" collapsed="false">
      <c r="A269" s="30" t="n">
        <v>266</v>
      </c>
      <c r="B269" s="31" t="n">
        <f aca="false">Summary!$B$5+IF(D269=1,0,IF(C269=1,Summary!$B$6,NA()))+(MATCH(1,E269:L269,0)-1)*Summary!$B$7+(MATCH(1,M269:T269,0)-1)*Summary!$B$8+(MATCH(1,U269:AB269,0)-1)*Summary!$B$9</f>
        <v>63.25</v>
      </c>
      <c r="C269" s="32" t="n">
        <v>0</v>
      </c>
      <c r="D269" s="32" t="n">
        <v>1</v>
      </c>
      <c r="E269" s="32" t="n">
        <v>0</v>
      </c>
      <c r="F269" s="32" t="n">
        <v>0</v>
      </c>
      <c r="G269" s="32" t="n">
        <v>0</v>
      </c>
      <c r="H269" s="32" t="n">
        <v>0</v>
      </c>
      <c r="I269" s="32" t="n">
        <v>1</v>
      </c>
      <c r="J269" s="32" t="n">
        <v>0</v>
      </c>
      <c r="K269" s="32" t="n">
        <v>0</v>
      </c>
      <c r="L269" s="32" t="n">
        <v>0</v>
      </c>
      <c r="M269" s="32" t="n">
        <v>0</v>
      </c>
      <c r="N269" s="32" t="n">
        <v>1</v>
      </c>
      <c r="O269" s="32" t="n">
        <v>0</v>
      </c>
      <c r="P269" s="32" t="n">
        <v>0</v>
      </c>
      <c r="Q269" s="32" t="n">
        <v>0</v>
      </c>
      <c r="R269" s="32" t="n">
        <v>0</v>
      </c>
      <c r="S269" s="32" t="n">
        <v>0</v>
      </c>
      <c r="T269" s="32" t="n">
        <v>0</v>
      </c>
      <c r="U269" s="32" t="n">
        <v>0</v>
      </c>
      <c r="V269" s="32" t="n">
        <v>0</v>
      </c>
      <c r="W269" s="32" t="n">
        <v>1</v>
      </c>
      <c r="X269" s="32" t="n">
        <v>0</v>
      </c>
      <c r="Y269" s="32" t="n">
        <v>0</v>
      </c>
      <c r="Z269" s="32" t="n">
        <v>0</v>
      </c>
      <c r="AA269" s="32" t="n">
        <v>0</v>
      </c>
      <c r="AB269" s="32" t="n">
        <v>0</v>
      </c>
      <c r="AC269" s="30" t="s">
        <v>370</v>
      </c>
      <c r="AD269" s="37" t="n">
        <f aca="false">B269-B268</f>
        <v>0.125</v>
      </c>
    </row>
    <row r="270" customFormat="false" ht="15" hidden="false" customHeight="false" outlineLevel="0" collapsed="false">
      <c r="A270" s="33" t="n">
        <v>267</v>
      </c>
      <c r="B270" s="34" t="n">
        <f aca="false">Summary!$B$5+IF(D270=1,0,IF(C270=1,Summary!$B$6,NA()))+(MATCH(1,E270:L270,0)-1)*Summary!$B$7+(MATCH(1,M270:T270,0)-1)*Summary!$B$8+(MATCH(1,U270:AB270,0)-1)*Summary!$B$9</f>
        <v>63.375</v>
      </c>
      <c r="C270" s="35" t="n">
        <v>0</v>
      </c>
      <c r="D270" s="35" t="n">
        <v>1</v>
      </c>
      <c r="E270" s="35" t="n">
        <v>0</v>
      </c>
      <c r="F270" s="35" t="n">
        <v>0</v>
      </c>
      <c r="G270" s="35" t="n">
        <v>0</v>
      </c>
      <c r="H270" s="35" t="n">
        <v>0</v>
      </c>
      <c r="I270" s="35" t="n">
        <v>1</v>
      </c>
      <c r="J270" s="35" t="n">
        <v>0</v>
      </c>
      <c r="K270" s="35" t="n">
        <v>0</v>
      </c>
      <c r="L270" s="35" t="n">
        <v>0</v>
      </c>
      <c r="M270" s="35" t="n">
        <v>0</v>
      </c>
      <c r="N270" s="35" t="n">
        <v>1</v>
      </c>
      <c r="O270" s="35" t="n">
        <v>0</v>
      </c>
      <c r="P270" s="35" t="n">
        <v>0</v>
      </c>
      <c r="Q270" s="35" t="n">
        <v>0</v>
      </c>
      <c r="R270" s="35" t="n">
        <v>0</v>
      </c>
      <c r="S270" s="35" t="n">
        <v>0</v>
      </c>
      <c r="T270" s="35" t="n">
        <v>0</v>
      </c>
      <c r="U270" s="35" t="n">
        <v>0</v>
      </c>
      <c r="V270" s="35" t="n">
        <v>0</v>
      </c>
      <c r="W270" s="35" t="n">
        <v>0</v>
      </c>
      <c r="X270" s="35" t="n">
        <v>1</v>
      </c>
      <c r="Y270" s="35" t="n">
        <v>0</v>
      </c>
      <c r="Z270" s="35" t="n">
        <v>0</v>
      </c>
      <c r="AA270" s="35" t="n">
        <v>0</v>
      </c>
      <c r="AB270" s="35" t="n">
        <v>0</v>
      </c>
      <c r="AC270" s="33" t="s">
        <v>371</v>
      </c>
      <c r="AD270" s="36" t="n">
        <f aca="false">B270-B269</f>
        <v>0.125</v>
      </c>
    </row>
    <row r="271" customFormat="false" ht="15" hidden="false" customHeight="false" outlineLevel="0" collapsed="false">
      <c r="A271" s="30" t="n">
        <v>268</v>
      </c>
      <c r="B271" s="31" t="n">
        <f aca="false">Summary!$B$5+IF(D271=1,0,IF(C271=1,Summary!$B$6,NA()))+(MATCH(1,E271:L271,0)-1)*Summary!$B$7+(MATCH(1,M271:T271,0)-1)*Summary!$B$8+(MATCH(1,U271:AB271,0)-1)*Summary!$B$9</f>
        <v>63.5</v>
      </c>
      <c r="C271" s="32" t="n">
        <v>0</v>
      </c>
      <c r="D271" s="32" t="n">
        <v>1</v>
      </c>
      <c r="E271" s="32" t="n">
        <v>0</v>
      </c>
      <c r="F271" s="32" t="n">
        <v>0</v>
      </c>
      <c r="G271" s="32" t="n">
        <v>0</v>
      </c>
      <c r="H271" s="32" t="n">
        <v>0</v>
      </c>
      <c r="I271" s="32" t="n">
        <v>1</v>
      </c>
      <c r="J271" s="32" t="n">
        <v>0</v>
      </c>
      <c r="K271" s="32" t="n">
        <v>0</v>
      </c>
      <c r="L271" s="32" t="n">
        <v>0</v>
      </c>
      <c r="M271" s="32" t="n">
        <v>0</v>
      </c>
      <c r="N271" s="32" t="n">
        <v>1</v>
      </c>
      <c r="O271" s="32" t="n">
        <v>0</v>
      </c>
      <c r="P271" s="32" t="n">
        <v>0</v>
      </c>
      <c r="Q271" s="32" t="n">
        <v>0</v>
      </c>
      <c r="R271" s="32" t="n">
        <v>0</v>
      </c>
      <c r="S271" s="32" t="n">
        <v>0</v>
      </c>
      <c r="T271" s="32" t="n">
        <v>0</v>
      </c>
      <c r="U271" s="32" t="n">
        <v>0</v>
      </c>
      <c r="V271" s="32" t="n">
        <v>0</v>
      </c>
      <c r="W271" s="32" t="n">
        <v>0</v>
      </c>
      <c r="X271" s="32" t="n">
        <v>0</v>
      </c>
      <c r="Y271" s="32" t="n">
        <v>1</v>
      </c>
      <c r="Z271" s="32" t="n">
        <v>0</v>
      </c>
      <c r="AA271" s="32" t="n">
        <v>0</v>
      </c>
      <c r="AB271" s="32" t="n">
        <v>0</v>
      </c>
      <c r="AC271" s="30" t="s">
        <v>372</v>
      </c>
      <c r="AD271" s="37" t="n">
        <f aca="false">B271-B270</f>
        <v>0.125</v>
      </c>
    </row>
    <row r="272" customFormat="false" ht="15" hidden="false" customHeight="false" outlineLevel="0" collapsed="false">
      <c r="A272" s="33" t="n">
        <v>269</v>
      </c>
      <c r="B272" s="34" t="n">
        <f aca="false">Summary!$B$5+IF(D272=1,0,IF(C272=1,Summary!$B$6,NA()))+(MATCH(1,E272:L272,0)-1)*Summary!$B$7+(MATCH(1,M272:T272,0)-1)*Summary!$B$8+(MATCH(1,U272:AB272,0)-1)*Summary!$B$9</f>
        <v>63.625</v>
      </c>
      <c r="C272" s="35" t="n">
        <v>0</v>
      </c>
      <c r="D272" s="35" t="n">
        <v>1</v>
      </c>
      <c r="E272" s="35" t="n">
        <v>0</v>
      </c>
      <c r="F272" s="35" t="n">
        <v>0</v>
      </c>
      <c r="G272" s="35" t="n">
        <v>0</v>
      </c>
      <c r="H272" s="35" t="n">
        <v>0</v>
      </c>
      <c r="I272" s="35" t="n">
        <v>1</v>
      </c>
      <c r="J272" s="35" t="n">
        <v>0</v>
      </c>
      <c r="K272" s="35" t="n">
        <v>0</v>
      </c>
      <c r="L272" s="35" t="n">
        <v>0</v>
      </c>
      <c r="M272" s="35" t="n">
        <v>0</v>
      </c>
      <c r="N272" s="35" t="n">
        <v>1</v>
      </c>
      <c r="O272" s="35" t="n">
        <v>0</v>
      </c>
      <c r="P272" s="35" t="n">
        <v>0</v>
      </c>
      <c r="Q272" s="35" t="n">
        <v>0</v>
      </c>
      <c r="R272" s="35" t="n">
        <v>0</v>
      </c>
      <c r="S272" s="35" t="n">
        <v>0</v>
      </c>
      <c r="T272" s="35" t="n">
        <v>0</v>
      </c>
      <c r="U272" s="35" t="n">
        <v>0</v>
      </c>
      <c r="V272" s="35" t="n">
        <v>0</v>
      </c>
      <c r="W272" s="35" t="n">
        <v>0</v>
      </c>
      <c r="X272" s="35" t="n">
        <v>0</v>
      </c>
      <c r="Y272" s="35" t="n">
        <v>0</v>
      </c>
      <c r="Z272" s="35" t="n">
        <v>1</v>
      </c>
      <c r="AA272" s="35" t="n">
        <v>0</v>
      </c>
      <c r="AB272" s="35" t="n">
        <v>0</v>
      </c>
      <c r="AC272" s="33" t="s">
        <v>373</v>
      </c>
      <c r="AD272" s="36" t="n">
        <f aca="false">B272-B271</f>
        <v>0.125</v>
      </c>
    </row>
    <row r="273" customFormat="false" ht="15" hidden="false" customHeight="false" outlineLevel="0" collapsed="false">
      <c r="A273" s="30" t="n">
        <v>270</v>
      </c>
      <c r="B273" s="31" t="n">
        <f aca="false">Summary!$B$5+IF(D273=1,0,IF(C273=1,Summary!$B$6,NA()))+(MATCH(1,E273:L273,0)-1)*Summary!$B$7+(MATCH(1,M273:T273,0)-1)*Summary!$B$8+(MATCH(1,U273:AB273,0)-1)*Summary!$B$9</f>
        <v>63.75</v>
      </c>
      <c r="C273" s="32" t="n">
        <v>0</v>
      </c>
      <c r="D273" s="32" t="n">
        <v>1</v>
      </c>
      <c r="E273" s="32" t="n">
        <v>0</v>
      </c>
      <c r="F273" s="32" t="n">
        <v>0</v>
      </c>
      <c r="G273" s="32" t="n">
        <v>0</v>
      </c>
      <c r="H273" s="32" t="n">
        <v>0</v>
      </c>
      <c r="I273" s="32" t="n">
        <v>1</v>
      </c>
      <c r="J273" s="32" t="n">
        <v>0</v>
      </c>
      <c r="K273" s="32" t="n">
        <v>0</v>
      </c>
      <c r="L273" s="32" t="n">
        <v>0</v>
      </c>
      <c r="M273" s="32" t="n">
        <v>0</v>
      </c>
      <c r="N273" s="32" t="n">
        <v>1</v>
      </c>
      <c r="O273" s="32" t="n">
        <v>0</v>
      </c>
      <c r="P273" s="32" t="n">
        <v>0</v>
      </c>
      <c r="Q273" s="32" t="n">
        <v>0</v>
      </c>
      <c r="R273" s="32" t="n">
        <v>0</v>
      </c>
      <c r="S273" s="32" t="n">
        <v>0</v>
      </c>
      <c r="T273" s="32" t="n">
        <v>0</v>
      </c>
      <c r="U273" s="32" t="n">
        <v>0</v>
      </c>
      <c r="V273" s="32" t="n">
        <v>0</v>
      </c>
      <c r="W273" s="32" t="n">
        <v>0</v>
      </c>
      <c r="X273" s="32" t="n">
        <v>0</v>
      </c>
      <c r="Y273" s="32" t="n">
        <v>0</v>
      </c>
      <c r="Z273" s="32" t="n">
        <v>0</v>
      </c>
      <c r="AA273" s="32" t="n">
        <v>1</v>
      </c>
      <c r="AB273" s="32" t="n">
        <v>0</v>
      </c>
      <c r="AC273" s="30" t="s">
        <v>374</v>
      </c>
      <c r="AD273" s="37" t="n">
        <f aca="false">B273-B272</f>
        <v>0.125</v>
      </c>
    </row>
    <row r="274" customFormat="false" ht="15" hidden="false" customHeight="false" outlineLevel="0" collapsed="false">
      <c r="A274" s="33" t="n">
        <v>271</v>
      </c>
      <c r="B274" s="34" t="n">
        <f aca="false">Summary!$B$5+IF(D274=1,0,IF(C274=1,Summary!$B$6,NA()))+(MATCH(1,E274:L274,0)-1)*Summary!$B$7+(MATCH(1,M274:T274,0)-1)*Summary!$B$8+(MATCH(1,U274:AB274,0)-1)*Summary!$B$9</f>
        <v>63.875</v>
      </c>
      <c r="C274" s="35" t="n">
        <v>0</v>
      </c>
      <c r="D274" s="35" t="n">
        <v>1</v>
      </c>
      <c r="E274" s="35" t="n">
        <v>0</v>
      </c>
      <c r="F274" s="35" t="n">
        <v>0</v>
      </c>
      <c r="G274" s="35" t="n">
        <v>0</v>
      </c>
      <c r="H274" s="35" t="n">
        <v>0</v>
      </c>
      <c r="I274" s="35" t="n">
        <v>1</v>
      </c>
      <c r="J274" s="35" t="n">
        <v>0</v>
      </c>
      <c r="K274" s="35" t="n">
        <v>0</v>
      </c>
      <c r="L274" s="35" t="n">
        <v>0</v>
      </c>
      <c r="M274" s="35" t="n">
        <v>0</v>
      </c>
      <c r="N274" s="35" t="n">
        <v>1</v>
      </c>
      <c r="O274" s="35" t="n">
        <v>0</v>
      </c>
      <c r="P274" s="35" t="n">
        <v>0</v>
      </c>
      <c r="Q274" s="35" t="n">
        <v>0</v>
      </c>
      <c r="R274" s="35" t="n">
        <v>0</v>
      </c>
      <c r="S274" s="35" t="n">
        <v>0</v>
      </c>
      <c r="T274" s="35" t="n">
        <v>0</v>
      </c>
      <c r="U274" s="35" t="n">
        <v>0</v>
      </c>
      <c r="V274" s="35" t="n">
        <v>0</v>
      </c>
      <c r="W274" s="35" t="n">
        <v>0</v>
      </c>
      <c r="X274" s="35" t="n">
        <v>0</v>
      </c>
      <c r="Y274" s="35" t="n">
        <v>0</v>
      </c>
      <c r="Z274" s="35" t="n">
        <v>0</v>
      </c>
      <c r="AA274" s="35" t="n">
        <v>0</v>
      </c>
      <c r="AB274" s="35" t="n">
        <v>1</v>
      </c>
      <c r="AC274" s="33" t="s">
        <v>375</v>
      </c>
      <c r="AD274" s="36" t="n">
        <f aca="false">B274-B273</f>
        <v>0.125</v>
      </c>
    </row>
    <row r="275" customFormat="false" ht="15" hidden="false" customHeight="false" outlineLevel="0" collapsed="false">
      <c r="A275" s="30" t="n">
        <v>272</v>
      </c>
      <c r="B275" s="31" t="n">
        <f aca="false">Summary!$B$5+IF(D275=1,0,IF(C275=1,Summary!$B$6,NA()))+(MATCH(1,E275:L275,0)-1)*Summary!$B$7+(MATCH(1,M275:T275,0)-1)*Summary!$B$8+(MATCH(1,U275:AB275,0)-1)*Summary!$B$9</f>
        <v>64</v>
      </c>
      <c r="C275" s="32" t="n">
        <v>0</v>
      </c>
      <c r="D275" s="32" t="n">
        <v>1</v>
      </c>
      <c r="E275" s="32" t="n">
        <v>0</v>
      </c>
      <c r="F275" s="32" t="n">
        <v>0</v>
      </c>
      <c r="G275" s="32" t="n">
        <v>0</v>
      </c>
      <c r="H275" s="32" t="n">
        <v>0</v>
      </c>
      <c r="I275" s="32" t="n">
        <v>1</v>
      </c>
      <c r="J275" s="32" t="n">
        <v>0</v>
      </c>
      <c r="K275" s="32" t="n">
        <v>0</v>
      </c>
      <c r="L275" s="32" t="n">
        <v>0</v>
      </c>
      <c r="M275" s="32" t="n">
        <v>0</v>
      </c>
      <c r="N275" s="32" t="n">
        <v>0</v>
      </c>
      <c r="O275" s="32" t="n">
        <v>1</v>
      </c>
      <c r="P275" s="32" t="n">
        <v>0</v>
      </c>
      <c r="Q275" s="32" t="n">
        <v>0</v>
      </c>
      <c r="R275" s="32" t="n">
        <v>0</v>
      </c>
      <c r="S275" s="32" t="n">
        <v>0</v>
      </c>
      <c r="T275" s="32" t="n">
        <v>0</v>
      </c>
      <c r="U275" s="32" t="n">
        <v>1</v>
      </c>
      <c r="V275" s="32" t="n">
        <v>0</v>
      </c>
      <c r="W275" s="32" t="n">
        <v>0</v>
      </c>
      <c r="X275" s="32" t="n">
        <v>0</v>
      </c>
      <c r="Y275" s="32" t="n">
        <v>0</v>
      </c>
      <c r="Z275" s="32" t="n">
        <v>0</v>
      </c>
      <c r="AA275" s="32" t="n">
        <v>0</v>
      </c>
      <c r="AB275" s="32" t="n">
        <v>0</v>
      </c>
      <c r="AC275" s="30" t="s">
        <v>376</v>
      </c>
      <c r="AD275" s="37" t="n">
        <f aca="false">B275-B274</f>
        <v>0.125</v>
      </c>
    </row>
    <row r="276" customFormat="false" ht="15" hidden="false" customHeight="false" outlineLevel="0" collapsed="false">
      <c r="A276" s="33" t="n">
        <v>273</v>
      </c>
      <c r="B276" s="34" t="n">
        <f aca="false">Summary!$B$5+IF(D276=1,0,IF(C276=1,Summary!$B$6,NA()))+(MATCH(1,E276:L276,0)-1)*Summary!$B$7+(MATCH(1,M276:T276,0)-1)*Summary!$B$8+(MATCH(1,U276:AB276,0)-1)*Summary!$B$9</f>
        <v>64.125</v>
      </c>
      <c r="C276" s="35" t="n">
        <v>0</v>
      </c>
      <c r="D276" s="35" t="n">
        <v>1</v>
      </c>
      <c r="E276" s="35" t="n">
        <v>0</v>
      </c>
      <c r="F276" s="35" t="n">
        <v>0</v>
      </c>
      <c r="G276" s="35" t="n">
        <v>0</v>
      </c>
      <c r="H276" s="35" t="n">
        <v>0</v>
      </c>
      <c r="I276" s="35" t="n">
        <v>1</v>
      </c>
      <c r="J276" s="35" t="n">
        <v>0</v>
      </c>
      <c r="K276" s="35" t="n">
        <v>0</v>
      </c>
      <c r="L276" s="35" t="n">
        <v>0</v>
      </c>
      <c r="M276" s="35" t="n">
        <v>0</v>
      </c>
      <c r="N276" s="35" t="n">
        <v>0</v>
      </c>
      <c r="O276" s="35" t="n">
        <v>1</v>
      </c>
      <c r="P276" s="35" t="n">
        <v>0</v>
      </c>
      <c r="Q276" s="35" t="n">
        <v>0</v>
      </c>
      <c r="R276" s="35" t="n">
        <v>0</v>
      </c>
      <c r="S276" s="35" t="n">
        <v>0</v>
      </c>
      <c r="T276" s="35" t="n">
        <v>0</v>
      </c>
      <c r="U276" s="35" t="n">
        <v>0</v>
      </c>
      <c r="V276" s="35" t="n">
        <v>1</v>
      </c>
      <c r="W276" s="35" t="n">
        <v>0</v>
      </c>
      <c r="X276" s="35" t="n">
        <v>0</v>
      </c>
      <c r="Y276" s="35" t="n">
        <v>0</v>
      </c>
      <c r="Z276" s="35" t="n">
        <v>0</v>
      </c>
      <c r="AA276" s="35" t="n">
        <v>0</v>
      </c>
      <c r="AB276" s="35" t="n">
        <v>0</v>
      </c>
      <c r="AC276" s="33" t="s">
        <v>377</v>
      </c>
      <c r="AD276" s="36" t="n">
        <f aca="false">B276-B275</f>
        <v>0.125</v>
      </c>
    </row>
    <row r="277" customFormat="false" ht="15" hidden="false" customHeight="false" outlineLevel="0" collapsed="false">
      <c r="A277" s="30" t="n">
        <v>274</v>
      </c>
      <c r="B277" s="31" t="n">
        <f aca="false">Summary!$B$5+IF(D277=1,0,IF(C277=1,Summary!$B$6,NA()))+(MATCH(1,E277:L277,0)-1)*Summary!$B$7+(MATCH(1,M277:T277,0)-1)*Summary!$B$8+(MATCH(1,U277:AB277,0)-1)*Summary!$B$9</f>
        <v>64.25</v>
      </c>
      <c r="C277" s="32" t="n">
        <v>0</v>
      </c>
      <c r="D277" s="32" t="n">
        <v>1</v>
      </c>
      <c r="E277" s="32" t="n">
        <v>0</v>
      </c>
      <c r="F277" s="32" t="n">
        <v>0</v>
      </c>
      <c r="G277" s="32" t="n">
        <v>0</v>
      </c>
      <c r="H277" s="32" t="n">
        <v>0</v>
      </c>
      <c r="I277" s="32" t="n">
        <v>1</v>
      </c>
      <c r="J277" s="32" t="n">
        <v>0</v>
      </c>
      <c r="K277" s="32" t="n">
        <v>0</v>
      </c>
      <c r="L277" s="32" t="n">
        <v>0</v>
      </c>
      <c r="M277" s="32" t="n">
        <v>0</v>
      </c>
      <c r="N277" s="32" t="n">
        <v>0</v>
      </c>
      <c r="O277" s="32" t="n">
        <v>1</v>
      </c>
      <c r="P277" s="32" t="n">
        <v>0</v>
      </c>
      <c r="Q277" s="32" t="n">
        <v>0</v>
      </c>
      <c r="R277" s="32" t="n">
        <v>0</v>
      </c>
      <c r="S277" s="32" t="n">
        <v>0</v>
      </c>
      <c r="T277" s="32" t="n">
        <v>0</v>
      </c>
      <c r="U277" s="32" t="n">
        <v>0</v>
      </c>
      <c r="V277" s="32" t="n">
        <v>0</v>
      </c>
      <c r="W277" s="32" t="n">
        <v>1</v>
      </c>
      <c r="X277" s="32" t="n">
        <v>0</v>
      </c>
      <c r="Y277" s="32" t="n">
        <v>0</v>
      </c>
      <c r="Z277" s="32" t="n">
        <v>0</v>
      </c>
      <c r="AA277" s="32" t="n">
        <v>0</v>
      </c>
      <c r="AB277" s="32" t="n">
        <v>0</v>
      </c>
      <c r="AC277" s="30" t="s">
        <v>378</v>
      </c>
      <c r="AD277" s="37" t="n">
        <f aca="false">B277-B276</f>
        <v>0.125</v>
      </c>
    </row>
    <row r="278" customFormat="false" ht="15" hidden="false" customHeight="false" outlineLevel="0" collapsed="false">
      <c r="A278" s="33" t="n">
        <v>275</v>
      </c>
      <c r="B278" s="34" t="n">
        <f aca="false">Summary!$B$5+IF(D278=1,0,IF(C278=1,Summary!$B$6,NA()))+(MATCH(1,E278:L278,0)-1)*Summary!$B$7+(MATCH(1,M278:T278,0)-1)*Summary!$B$8+(MATCH(1,U278:AB278,0)-1)*Summary!$B$9</f>
        <v>64.375</v>
      </c>
      <c r="C278" s="35" t="n">
        <v>0</v>
      </c>
      <c r="D278" s="35" t="n">
        <v>1</v>
      </c>
      <c r="E278" s="35" t="n">
        <v>0</v>
      </c>
      <c r="F278" s="35" t="n">
        <v>0</v>
      </c>
      <c r="G278" s="35" t="n">
        <v>0</v>
      </c>
      <c r="H278" s="35" t="n">
        <v>0</v>
      </c>
      <c r="I278" s="35" t="n">
        <v>1</v>
      </c>
      <c r="J278" s="35" t="n">
        <v>0</v>
      </c>
      <c r="K278" s="35" t="n">
        <v>0</v>
      </c>
      <c r="L278" s="35" t="n">
        <v>0</v>
      </c>
      <c r="M278" s="35" t="n">
        <v>0</v>
      </c>
      <c r="N278" s="35" t="n">
        <v>0</v>
      </c>
      <c r="O278" s="35" t="n">
        <v>1</v>
      </c>
      <c r="P278" s="35" t="n">
        <v>0</v>
      </c>
      <c r="Q278" s="35" t="n">
        <v>0</v>
      </c>
      <c r="R278" s="35" t="n">
        <v>0</v>
      </c>
      <c r="S278" s="35" t="n">
        <v>0</v>
      </c>
      <c r="T278" s="35" t="n">
        <v>0</v>
      </c>
      <c r="U278" s="35" t="n">
        <v>0</v>
      </c>
      <c r="V278" s="35" t="n">
        <v>0</v>
      </c>
      <c r="W278" s="35" t="n">
        <v>0</v>
      </c>
      <c r="X278" s="35" t="n">
        <v>1</v>
      </c>
      <c r="Y278" s="35" t="n">
        <v>0</v>
      </c>
      <c r="Z278" s="35" t="n">
        <v>0</v>
      </c>
      <c r="AA278" s="35" t="n">
        <v>0</v>
      </c>
      <c r="AB278" s="35" t="n">
        <v>0</v>
      </c>
      <c r="AC278" s="33" t="s">
        <v>379</v>
      </c>
      <c r="AD278" s="36" t="n">
        <f aca="false">B278-B277</f>
        <v>0.125</v>
      </c>
    </row>
    <row r="279" customFormat="false" ht="15" hidden="false" customHeight="false" outlineLevel="0" collapsed="false">
      <c r="A279" s="30" t="n">
        <v>276</v>
      </c>
      <c r="B279" s="31" t="n">
        <f aca="false">Summary!$B$5+IF(D279=1,0,IF(C279=1,Summary!$B$6,NA()))+(MATCH(1,E279:L279,0)-1)*Summary!$B$7+(MATCH(1,M279:T279,0)-1)*Summary!$B$8+(MATCH(1,U279:AB279,0)-1)*Summary!$B$9</f>
        <v>64.5</v>
      </c>
      <c r="C279" s="32" t="n">
        <v>0</v>
      </c>
      <c r="D279" s="32" t="n">
        <v>1</v>
      </c>
      <c r="E279" s="32" t="n">
        <v>0</v>
      </c>
      <c r="F279" s="32" t="n">
        <v>0</v>
      </c>
      <c r="G279" s="32" t="n">
        <v>0</v>
      </c>
      <c r="H279" s="32" t="n">
        <v>0</v>
      </c>
      <c r="I279" s="32" t="n">
        <v>1</v>
      </c>
      <c r="J279" s="32" t="n">
        <v>0</v>
      </c>
      <c r="K279" s="32" t="n">
        <v>0</v>
      </c>
      <c r="L279" s="32" t="n">
        <v>0</v>
      </c>
      <c r="M279" s="32" t="n">
        <v>0</v>
      </c>
      <c r="N279" s="32" t="n">
        <v>0</v>
      </c>
      <c r="O279" s="32" t="n">
        <v>1</v>
      </c>
      <c r="P279" s="32" t="n">
        <v>0</v>
      </c>
      <c r="Q279" s="32" t="n">
        <v>0</v>
      </c>
      <c r="R279" s="32" t="n">
        <v>0</v>
      </c>
      <c r="S279" s="32" t="n">
        <v>0</v>
      </c>
      <c r="T279" s="32" t="n">
        <v>0</v>
      </c>
      <c r="U279" s="32" t="n">
        <v>0</v>
      </c>
      <c r="V279" s="32" t="n">
        <v>0</v>
      </c>
      <c r="W279" s="32" t="n">
        <v>0</v>
      </c>
      <c r="X279" s="32" t="n">
        <v>0</v>
      </c>
      <c r="Y279" s="32" t="n">
        <v>1</v>
      </c>
      <c r="Z279" s="32" t="n">
        <v>0</v>
      </c>
      <c r="AA279" s="32" t="n">
        <v>0</v>
      </c>
      <c r="AB279" s="32" t="n">
        <v>0</v>
      </c>
      <c r="AC279" s="30" t="s">
        <v>380</v>
      </c>
      <c r="AD279" s="37" t="n">
        <f aca="false">B279-B278</f>
        <v>0.125</v>
      </c>
    </row>
    <row r="280" customFormat="false" ht="15" hidden="false" customHeight="false" outlineLevel="0" collapsed="false">
      <c r="A280" s="33" t="n">
        <v>277</v>
      </c>
      <c r="B280" s="34" t="n">
        <f aca="false">Summary!$B$5+IF(D280=1,0,IF(C280=1,Summary!$B$6,NA()))+(MATCH(1,E280:L280,0)-1)*Summary!$B$7+(MATCH(1,M280:T280,0)-1)*Summary!$B$8+(MATCH(1,U280:AB280,0)-1)*Summary!$B$9</f>
        <v>64.625</v>
      </c>
      <c r="C280" s="35" t="n">
        <v>0</v>
      </c>
      <c r="D280" s="35" t="n">
        <v>1</v>
      </c>
      <c r="E280" s="35" t="n">
        <v>0</v>
      </c>
      <c r="F280" s="35" t="n">
        <v>0</v>
      </c>
      <c r="G280" s="35" t="n">
        <v>0</v>
      </c>
      <c r="H280" s="35" t="n">
        <v>0</v>
      </c>
      <c r="I280" s="35" t="n">
        <v>1</v>
      </c>
      <c r="J280" s="35" t="n">
        <v>0</v>
      </c>
      <c r="K280" s="35" t="n">
        <v>0</v>
      </c>
      <c r="L280" s="35" t="n">
        <v>0</v>
      </c>
      <c r="M280" s="35" t="n">
        <v>0</v>
      </c>
      <c r="N280" s="35" t="n">
        <v>0</v>
      </c>
      <c r="O280" s="35" t="n">
        <v>1</v>
      </c>
      <c r="P280" s="35" t="n">
        <v>0</v>
      </c>
      <c r="Q280" s="35" t="n">
        <v>0</v>
      </c>
      <c r="R280" s="35" t="n">
        <v>0</v>
      </c>
      <c r="S280" s="35" t="n">
        <v>0</v>
      </c>
      <c r="T280" s="35" t="n">
        <v>0</v>
      </c>
      <c r="U280" s="35" t="n">
        <v>0</v>
      </c>
      <c r="V280" s="35" t="n">
        <v>0</v>
      </c>
      <c r="W280" s="35" t="n">
        <v>0</v>
      </c>
      <c r="X280" s="35" t="n">
        <v>0</v>
      </c>
      <c r="Y280" s="35" t="n">
        <v>0</v>
      </c>
      <c r="Z280" s="35" t="n">
        <v>1</v>
      </c>
      <c r="AA280" s="35" t="n">
        <v>0</v>
      </c>
      <c r="AB280" s="35" t="n">
        <v>0</v>
      </c>
      <c r="AC280" s="33" t="s">
        <v>381</v>
      </c>
      <c r="AD280" s="36" t="n">
        <f aca="false">B280-B279</f>
        <v>0.125</v>
      </c>
    </row>
    <row r="281" customFormat="false" ht="15" hidden="false" customHeight="false" outlineLevel="0" collapsed="false">
      <c r="A281" s="30" t="n">
        <v>278</v>
      </c>
      <c r="B281" s="31" t="n">
        <f aca="false">Summary!$B$5+IF(D281=1,0,IF(C281=1,Summary!$B$6,NA()))+(MATCH(1,E281:L281,0)-1)*Summary!$B$7+(MATCH(1,M281:T281,0)-1)*Summary!$B$8+(MATCH(1,U281:AB281,0)-1)*Summary!$B$9</f>
        <v>64.75</v>
      </c>
      <c r="C281" s="32" t="n">
        <v>0</v>
      </c>
      <c r="D281" s="32" t="n">
        <v>1</v>
      </c>
      <c r="E281" s="32" t="n">
        <v>0</v>
      </c>
      <c r="F281" s="32" t="n">
        <v>0</v>
      </c>
      <c r="G281" s="32" t="n">
        <v>0</v>
      </c>
      <c r="H281" s="32" t="n">
        <v>0</v>
      </c>
      <c r="I281" s="32" t="n">
        <v>1</v>
      </c>
      <c r="J281" s="32" t="n">
        <v>0</v>
      </c>
      <c r="K281" s="32" t="n">
        <v>0</v>
      </c>
      <c r="L281" s="32" t="n">
        <v>0</v>
      </c>
      <c r="M281" s="32" t="n">
        <v>0</v>
      </c>
      <c r="N281" s="32" t="n">
        <v>0</v>
      </c>
      <c r="O281" s="32" t="n">
        <v>1</v>
      </c>
      <c r="P281" s="32" t="n">
        <v>0</v>
      </c>
      <c r="Q281" s="32" t="n">
        <v>0</v>
      </c>
      <c r="R281" s="32" t="n">
        <v>0</v>
      </c>
      <c r="S281" s="32" t="n">
        <v>0</v>
      </c>
      <c r="T281" s="32" t="n">
        <v>0</v>
      </c>
      <c r="U281" s="32" t="n">
        <v>0</v>
      </c>
      <c r="V281" s="32" t="n">
        <v>0</v>
      </c>
      <c r="W281" s="32" t="n">
        <v>0</v>
      </c>
      <c r="X281" s="32" t="n">
        <v>0</v>
      </c>
      <c r="Y281" s="32" t="n">
        <v>0</v>
      </c>
      <c r="Z281" s="32" t="n">
        <v>0</v>
      </c>
      <c r="AA281" s="32" t="n">
        <v>1</v>
      </c>
      <c r="AB281" s="32" t="n">
        <v>0</v>
      </c>
      <c r="AC281" s="30" t="s">
        <v>382</v>
      </c>
      <c r="AD281" s="37" t="n">
        <f aca="false">B281-B280</f>
        <v>0.125</v>
      </c>
    </row>
    <row r="282" customFormat="false" ht="15" hidden="false" customHeight="false" outlineLevel="0" collapsed="false">
      <c r="A282" s="33" t="n">
        <v>279</v>
      </c>
      <c r="B282" s="34" t="n">
        <f aca="false">Summary!$B$5+IF(D282=1,0,IF(C282=1,Summary!$B$6,NA()))+(MATCH(1,E282:L282,0)-1)*Summary!$B$7+(MATCH(1,M282:T282,0)-1)*Summary!$B$8+(MATCH(1,U282:AB282,0)-1)*Summary!$B$9</f>
        <v>64.875</v>
      </c>
      <c r="C282" s="35" t="n">
        <v>0</v>
      </c>
      <c r="D282" s="35" t="n">
        <v>1</v>
      </c>
      <c r="E282" s="35" t="n">
        <v>0</v>
      </c>
      <c r="F282" s="35" t="n">
        <v>0</v>
      </c>
      <c r="G282" s="35" t="n">
        <v>0</v>
      </c>
      <c r="H282" s="35" t="n">
        <v>0</v>
      </c>
      <c r="I282" s="35" t="n">
        <v>1</v>
      </c>
      <c r="J282" s="35" t="n">
        <v>0</v>
      </c>
      <c r="K282" s="35" t="n">
        <v>0</v>
      </c>
      <c r="L282" s="35" t="n">
        <v>0</v>
      </c>
      <c r="M282" s="35" t="n">
        <v>0</v>
      </c>
      <c r="N282" s="35" t="n">
        <v>0</v>
      </c>
      <c r="O282" s="35" t="n">
        <v>1</v>
      </c>
      <c r="P282" s="35" t="n">
        <v>0</v>
      </c>
      <c r="Q282" s="35" t="n">
        <v>0</v>
      </c>
      <c r="R282" s="35" t="n">
        <v>0</v>
      </c>
      <c r="S282" s="35" t="n">
        <v>0</v>
      </c>
      <c r="T282" s="35" t="n">
        <v>0</v>
      </c>
      <c r="U282" s="35" t="n">
        <v>0</v>
      </c>
      <c r="V282" s="35" t="n">
        <v>0</v>
      </c>
      <c r="W282" s="35" t="n">
        <v>0</v>
      </c>
      <c r="X282" s="35" t="n">
        <v>0</v>
      </c>
      <c r="Y282" s="35" t="n">
        <v>0</v>
      </c>
      <c r="Z282" s="35" t="n">
        <v>0</v>
      </c>
      <c r="AA282" s="35" t="n">
        <v>0</v>
      </c>
      <c r="AB282" s="35" t="n">
        <v>1</v>
      </c>
      <c r="AC282" s="33" t="s">
        <v>383</v>
      </c>
      <c r="AD282" s="36" t="n">
        <f aca="false">B282-B281</f>
        <v>0.125</v>
      </c>
    </row>
    <row r="283" customFormat="false" ht="15" hidden="false" customHeight="false" outlineLevel="0" collapsed="false">
      <c r="A283" s="30" t="n">
        <v>280</v>
      </c>
      <c r="B283" s="31" t="n">
        <f aca="false">Summary!$B$5+IF(D283=1,0,IF(C283=1,Summary!$B$6,NA()))+(MATCH(1,E283:L283,0)-1)*Summary!$B$7+(MATCH(1,M283:T283,0)-1)*Summary!$B$8+(MATCH(1,U283:AB283,0)-1)*Summary!$B$9</f>
        <v>65</v>
      </c>
      <c r="C283" s="32" t="n">
        <v>0</v>
      </c>
      <c r="D283" s="32" t="n">
        <v>1</v>
      </c>
      <c r="E283" s="32" t="n">
        <v>0</v>
      </c>
      <c r="F283" s="32" t="n">
        <v>0</v>
      </c>
      <c r="G283" s="32" t="n">
        <v>0</v>
      </c>
      <c r="H283" s="32" t="n">
        <v>0</v>
      </c>
      <c r="I283" s="32" t="n">
        <v>1</v>
      </c>
      <c r="J283" s="32" t="n">
        <v>0</v>
      </c>
      <c r="K283" s="32" t="n">
        <v>0</v>
      </c>
      <c r="L283" s="32" t="n">
        <v>0</v>
      </c>
      <c r="M283" s="32" t="n">
        <v>0</v>
      </c>
      <c r="N283" s="32" t="n">
        <v>0</v>
      </c>
      <c r="O283" s="32" t="n">
        <v>0</v>
      </c>
      <c r="P283" s="32" t="n">
        <v>1</v>
      </c>
      <c r="Q283" s="32" t="n">
        <v>0</v>
      </c>
      <c r="R283" s="32" t="n">
        <v>0</v>
      </c>
      <c r="S283" s="32" t="n">
        <v>0</v>
      </c>
      <c r="T283" s="32" t="n">
        <v>0</v>
      </c>
      <c r="U283" s="32" t="n">
        <v>1</v>
      </c>
      <c r="V283" s="32" t="n">
        <v>0</v>
      </c>
      <c r="W283" s="32" t="n">
        <v>0</v>
      </c>
      <c r="X283" s="32" t="n">
        <v>0</v>
      </c>
      <c r="Y283" s="32" t="n">
        <v>0</v>
      </c>
      <c r="Z283" s="32" t="n">
        <v>0</v>
      </c>
      <c r="AA283" s="32" t="n">
        <v>0</v>
      </c>
      <c r="AB283" s="32" t="n">
        <v>0</v>
      </c>
      <c r="AC283" s="30" t="s">
        <v>384</v>
      </c>
      <c r="AD283" s="37" t="n">
        <f aca="false">B283-B282</f>
        <v>0.125</v>
      </c>
    </row>
    <row r="284" customFormat="false" ht="15" hidden="false" customHeight="false" outlineLevel="0" collapsed="false">
      <c r="A284" s="33" t="n">
        <v>281</v>
      </c>
      <c r="B284" s="34" t="n">
        <f aca="false">Summary!$B$5+IF(D284=1,0,IF(C284=1,Summary!$B$6,NA()))+(MATCH(1,E284:L284,0)-1)*Summary!$B$7+(MATCH(1,M284:T284,0)-1)*Summary!$B$8+(MATCH(1,U284:AB284,0)-1)*Summary!$B$9</f>
        <v>65.125</v>
      </c>
      <c r="C284" s="35" t="n">
        <v>0</v>
      </c>
      <c r="D284" s="35" t="n">
        <v>1</v>
      </c>
      <c r="E284" s="35" t="n">
        <v>0</v>
      </c>
      <c r="F284" s="35" t="n">
        <v>0</v>
      </c>
      <c r="G284" s="35" t="n">
        <v>0</v>
      </c>
      <c r="H284" s="35" t="n">
        <v>0</v>
      </c>
      <c r="I284" s="35" t="n">
        <v>1</v>
      </c>
      <c r="J284" s="35" t="n">
        <v>0</v>
      </c>
      <c r="K284" s="35" t="n">
        <v>0</v>
      </c>
      <c r="L284" s="35" t="n">
        <v>0</v>
      </c>
      <c r="M284" s="35" t="n">
        <v>0</v>
      </c>
      <c r="N284" s="35" t="n">
        <v>0</v>
      </c>
      <c r="O284" s="35" t="n">
        <v>0</v>
      </c>
      <c r="P284" s="35" t="n">
        <v>1</v>
      </c>
      <c r="Q284" s="35" t="n">
        <v>0</v>
      </c>
      <c r="R284" s="35" t="n">
        <v>0</v>
      </c>
      <c r="S284" s="35" t="n">
        <v>0</v>
      </c>
      <c r="T284" s="35" t="n">
        <v>0</v>
      </c>
      <c r="U284" s="35" t="n">
        <v>0</v>
      </c>
      <c r="V284" s="35" t="n">
        <v>1</v>
      </c>
      <c r="W284" s="35" t="n">
        <v>0</v>
      </c>
      <c r="X284" s="35" t="n">
        <v>0</v>
      </c>
      <c r="Y284" s="35" t="n">
        <v>0</v>
      </c>
      <c r="Z284" s="35" t="n">
        <v>0</v>
      </c>
      <c r="AA284" s="35" t="n">
        <v>0</v>
      </c>
      <c r="AB284" s="35" t="n">
        <v>0</v>
      </c>
      <c r="AC284" s="33" t="s">
        <v>385</v>
      </c>
      <c r="AD284" s="36" t="n">
        <f aca="false">B284-B283</f>
        <v>0.125</v>
      </c>
    </row>
    <row r="285" customFormat="false" ht="15" hidden="false" customHeight="false" outlineLevel="0" collapsed="false">
      <c r="A285" s="30" t="n">
        <v>282</v>
      </c>
      <c r="B285" s="31" t="n">
        <f aca="false">Summary!$B$5+IF(D285=1,0,IF(C285=1,Summary!$B$6,NA()))+(MATCH(1,E285:L285,0)-1)*Summary!$B$7+(MATCH(1,M285:T285,0)-1)*Summary!$B$8+(MATCH(1,U285:AB285,0)-1)*Summary!$B$9</f>
        <v>65.25</v>
      </c>
      <c r="C285" s="32" t="n">
        <v>0</v>
      </c>
      <c r="D285" s="32" t="n">
        <v>1</v>
      </c>
      <c r="E285" s="32" t="n">
        <v>0</v>
      </c>
      <c r="F285" s="32" t="n">
        <v>0</v>
      </c>
      <c r="G285" s="32" t="n">
        <v>0</v>
      </c>
      <c r="H285" s="32" t="n">
        <v>0</v>
      </c>
      <c r="I285" s="32" t="n">
        <v>1</v>
      </c>
      <c r="J285" s="32" t="n">
        <v>0</v>
      </c>
      <c r="K285" s="32" t="n">
        <v>0</v>
      </c>
      <c r="L285" s="32" t="n">
        <v>0</v>
      </c>
      <c r="M285" s="32" t="n">
        <v>0</v>
      </c>
      <c r="N285" s="32" t="n">
        <v>0</v>
      </c>
      <c r="O285" s="32" t="n">
        <v>0</v>
      </c>
      <c r="P285" s="32" t="n">
        <v>1</v>
      </c>
      <c r="Q285" s="32" t="n">
        <v>0</v>
      </c>
      <c r="R285" s="32" t="n">
        <v>0</v>
      </c>
      <c r="S285" s="32" t="n">
        <v>0</v>
      </c>
      <c r="T285" s="32" t="n">
        <v>0</v>
      </c>
      <c r="U285" s="32" t="n">
        <v>0</v>
      </c>
      <c r="V285" s="32" t="n">
        <v>0</v>
      </c>
      <c r="W285" s="32" t="n">
        <v>1</v>
      </c>
      <c r="X285" s="32" t="n">
        <v>0</v>
      </c>
      <c r="Y285" s="32" t="n">
        <v>0</v>
      </c>
      <c r="Z285" s="32" t="n">
        <v>0</v>
      </c>
      <c r="AA285" s="32" t="n">
        <v>0</v>
      </c>
      <c r="AB285" s="32" t="n">
        <v>0</v>
      </c>
      <c r="AC285" s="30" t="s">
        <v>386</v>
      </c>
      <c r="AD285" s="37" t="n">
        <f aca="false">B285-B284</f>
        <v>0.125</v>
      </c>
    </row>
    <row r="286" customFormat="false" ht="15" hidden="false" customHeight="false" outlineLevel="0" collapsed="false">
      <c r="A286" s="33" t="n">
        <v>283</v>
      </c>
      <c r="B286" s="34" t="n">
        <f aca="false">Summary!$B$5+IF(D286=1,0,IF(C286=1,Summary!$B$6,NA()))+(MATCH(1,E286:L286,0)-1)*Summary!$B$7+(MATCH(1,M286:T286,0)-1)*Summary!$B$8+(MATCH(1,U286:AB286,0)-1)*Summary!$B$9</f>
        <v>65.375</v>
      </c>
      <c r="C286" s="35" t="n">
        <v>0</v>
      </c>
      <c r="D286" s="35" t="n">
        <v>1</v>
      </c>
      <c r="E286" s="35" t="n">
        <v>0</v>
      </c>
      <c r="F286" s="35" t="n">
        <v>0</v>
      </c>
      <c r="G286" s="35" t="n">
        <v>0</v>
      </c>
      <c r="H286" s="35" t="n">
        <v>0</v>
      </c>
      <c r="I286" s="35" t="n">
        <v>1</v>
      </c>
      <c r="J286" s="35" t="n">
        <v>0</v>
      </c>
      <c r="K286" s="35" t="n">
        <v>0</v>
      </c>
      <c r="L286" s="35" t="n">
        <v>0</v>
      </c>
      <c r="M286" s="35" t="n">
        <v>0</v>
      </c>
      <c r="N286" s="35" t="n">
        <v>0</v>
      </c>
      <c r="O286" s="35" t="n">
        <v>0</v>
      </c>
      <c r="P286" s="35" t="n">
        <v>1</v>
      </c>
      <c r="Q286" s="35" t="n">
        <v>0</v>
      </c>
      <c r="R286" s="35" t="n">
        <v>0</v>
      </c>
      <c r="S286" s="35" t="n">
        <v>0</v>
      </c>
      <c r="T286" s="35" t="n">
        <v>0</v>
      </c>
      <c r="U286" s="35" t="n">
        <v>0</v>
      </c>
      <c r="V286" s="35" t="n">
        <v>0</v>
      </c>
      <c r="W286" s="35" t="n">
        <v>0</v>
      </c>
      <c r="X286" s="35" t="n">
        <v>1</v>
      </c>
      <c r="Y286" s="35" t="n">
        <v>0</v>
      </c>
      <c r="Z286" s="35" t="n">
        <v>0</v>
      </c>
      <c r="AA286" s="35" t="n">
        <v>0</v>
      </c>
      <c r="AB286" s="35" t="n">
        <v>0</v>
      </c>
      <c r="AC286" s="33" t="s">
        <v>387</v>
      </c>
      <c r="AD286" s="36" t="n">
        <f aca="false">B286-B285</f>
        <v>0.125</v>
      </c>
    </row>
    <row r="287" customFormat="false" ht="15" hidden="false" customHeight="false" outlineLevel="0" collapsed="false">
      <c r="A287" s="30" t="n">
        <v>284</v>
      </c>
      <c r="B287" s="31" t="n">
        <f aca="false">Summary!$B$5+IF(D287=1,0,IF(C287=1,Summary!$B$6,NA()))+(MATCH(1,E287:L287,0)-1)*Summary!$B$7+(MATCH(1,M287:T287,0)-1)*Summary!$B$8+(MATCH(1,U287:AB287,0)-1)*Summary!$B$9</f>
        <v>65.5</v>
      </c>
      <c r="C287" s="32" t="n">
        <v>0</v>
      </c>
      <c r="D287" s="32" t="n">
        <v>1</v>
      </c>
      <c r="E287" s="32" t="n">
        <v>0</v>
      </c>
      <c r="F287" s="32" t="n">
        <v>0</v>
      </c>
      <c r="G287" s="32" t="n">
        <v>0</v>
      </c>
      <c r="H287" s="32" t="n">
        <v>0</v>
      </c>
      <c r="I287" s="32" t="n">
        <v>1</v>
      </c>
      <c r="J287" s="32" t="n">
        <v>0</v>
      </c>
      <c r="K287" s="32" t="n">
        <v>0</v>
      </c>
      <c r="L287" s="32" t="n">
        <v>0</v>
      </c>
      <c r="M287" s="32" t="n">
        <v>0</v>
      </c>
      <c r="N287" s="32" t="n">
        <v>0</v>
      </c>
      <c r="O287" s="32" t="n">
        <v>0</v>
      </c>
      <c r="P287" s="32" t="n">
        <v>1</v>
      </c>
      <c r="Q287" s="32" t="n">
        <v>0</v>
      </c>
      <c r="R287" s="32" t="n">
        <v>0</v>
      </c>
      <c r="S287" s="32" t="n">
        <v>0</v>
      </c>
      <c r="T287" s="32" t="n">
        <v>0</v>
      </c>
      <c r="U287" s="32" t="n">
        <v>0</v>
      </c>
      <c r="V287" s="32" t="n">
        <v>0</v>
      </c>
      <c r="W287" s="32" t="n">
        <v>0</v>
      </c>
      <c r="X287" s="32" t="n">
        <v>0</v>
      </c>
      <c r="Y287" s="32" t="n">
        <v>1</v>
      </c>
      <c r="Z287" s="32" t="n">
        <v>0</v>
      </c>
      <c r="AA287" s="32" t="n">
        <v>0</v>
      </c>
      <c r="AB287" s="32" t="n">
        <v>0</v>
      </c>
      <c r="AC287" s="30" t="s">
        <v>388</v>
      </c>
      <c r="AD287" s="37" t="n">
        <f aca="false">B287-B286</f>
        <v>0.125</v>
      </c>
    </row>
    <row r="288" customFormat="false" ht="15" hidden="false" customHeight="false" outlineLevel="0" collapsed="false">
      <c r="A288" s="33" t="n">
        <v>285</v>
      </c>
      <c r="B288" s="34" t="n">
        <f aca="false">Summary!$B$5+IF(D288=1,0,IF(C288=1,Summary!$B$6,NA()))+(MATCH(1,E288:L288,0)-1)*Summary!$B$7+(MATCH(1,M288:T288,0)-1)*Summary!$B$8+(MATCH(1,U288:AB288,0)-1)*Summary!$B$9</f>
        <v>65.625</v>
      </c>
      <c r="C288" s="35" t="n">
        <v>0</v>
      </c>
      <c r="D288" s="35" t="n">
        <v>1</v>
      </c>
      <c r="E288" s="35" t="n">
        <v>0</v>
      </c>
      <c r="F288" s="35" t="n">
        <v>0</v>
      </c>
      <c r="G288" s="35" t="n">
        <v>0</v>
      </c>
      <c r="H288" s="35" t="n">
        <v>0</v>
      </c>
      <c r="I288" s="35" t="n">
        <v>1</v>
      </c>
      <c r="J288" s="35" t="n">
        <v>0</v>
      </c>
      <c r="K288" s="35" t="n">
        <v>0</v>
      </c>
      <c r="L288" s="35" t="n">
        <v>0</v>
      </c>
      <c r="M288" s="35" t="n">
        <v>0</v>
      </c>
      <c r="N288" s="35" t="n">
        <v>0</v>
      </c>
      <c r="O288" s="35" t="n">
        <v>0</v>
      </c>
      <c r="P288" s="35" t="n">
        <v>1</v>
      </c>
      <c r="Q288" s="35" t="n">
        <v>0</v>
      </c>
      <c r="R288" s="35" t="n">
        <v>0</v>
      </c>
      <c r="S288" s="35" t="n">
        <v>0</v>
      </c>
      <c r="T288" s="35" t="n">
        <v>0</v>
      </c>
      <c r="U288" s="35" t="n">
        <v>0</v>
      </c>
      <c r="V288" s="35" t="n">
        <v>0</v>
      </c>
      <c r="W288" s="35" t="n">
        <v>0</v>
      </c>
      <c r="X288" s="35" t="n">
        <v>0</v>
      </c>
      <c r="Y288" s="35" t="n">
        <v>0</v>
      </c>
      <c r="Z288" s="35" t="n">
        <v>1</v>
      </c>
      <c r="AA288" s="35" t="n">
        <v>0</v>
      </c>
      <c r="AB288" s="35" t="n">
        <v>0</v>
      </c>
      <c r="AC288" s="33" t="s">
        <v>389</v>
      </c>
      <c r="AD288" s="36" t="n">
        <f aca="false">B288-B287</f>
        <v>0.125</v>
      </c>
    </row>
    <row r="289" customFormat="false" ht="15" hidden="false" customHeight="false" outlineLevel="0" collapsed="false">
      <c r="A289" s="30" t="n">
        <v>286</v>
      </c>
      <c r="B289" s="31" t="n">
        <f aca="false">Summary!$B$5+IF(D289=1,0,IF(C289=1,Summary!$B$6,NA()))+(MATCH(1,E289:L289,0)-1)*Summary!$B$7+(MATCH(1,M289:T289,0)-1)*Summary!$B$8+(MATCH(1,U289:AB289,0)-1)*Summary!$B$9</f>
        <v>65.75</v>
      </c>
      <c r="C289" s="32" t="n">
        <v>0</v>
      </c>
      <c r="D289" s="32" t="n">
        <v>1</v>
      </c>
      <c r="E289" s="32" t="n">
        <v>0</v>
      </c>
      <c r="F289" s="32" t="n">
        <v>0</v>
      </c>
      <c r="G289" s="32" t="n">
        <v>0</v>
      </c>
      <c r="H289" s="32" t="n">
        <v>0</v>
      </c>
      <c r="I289" s="32" t="n">
        <v>1</v>
      </c>
      <c r="J289" s="32" t="n">
        <v>0</v>
      </c>
      <c r="K289" s="32" t="n">
        <v>0</v>
      </c>
      <c r="L289" s="32" t="n">
        <v>0</v>
      </c>
      <c r="M289" s="32" t="n">
        <v>0</v>
      </c>
      <c r="N289" s="32" t="n">
        <v>0</v>
      </c>
      <c r="O289" s="32" t="n">
        <v>0</v>
      </c>
      <c r="P289" s="32" t="n">
        <v>1</v>
      </c>
      <c r="Q289" s="32" t="n">
        <v>0</v>
      </c>
      <c r="R289" s="32" t="n">
        <v>0</v>
      </c>
      <c r="S289" s="32" t="n">
        <v>0</v>
      </c>
      <c r="T289" s="32" t="n">
        <v>0</v>
      </c>
      <c r="U289" s="32" t="n">
        <v>0</v>
      </c>
      <c r="V289" s="32" t="n">
        <v>0</v>
      </c>
      <c r="W289" s="32" t="n">
        <v>0</v>
      </c>
      <c r="X289" s="32" t="n">
        <v>0</v>
      </c>
      <c r="Y289" s="32" t="n">
        <v>0</v>
      </c>
      <c r="Z289" s="32" t="n">
        <v>0</v>
      </c>
      <c r="AA289" s="32" t="n">
        <v>1</v>
      </c>
      <c r="AB289" s="32" t="n">
        <v>0</v>
      </c>
      <c r="AC289" s="30" t="s">
        <v>390</v>
      </c>
      <c r="AD289" s="37" t="n">
        <f aca="false">B289-B288</f>
        <v>0.125</v>
      </c>
    </row>
    <row r="290" customFormat="false" ht="15" hidden="false" customHeight="false" outlineLevel="0" collapsed="false">
      <c r="A290" s="33" t="n">
        <v>287</v>
      </c>
      <c r="B290" s="34" t="n">
        <f aca="false">Summary!$B$5+IF(D290=1,0,IF(C290=1,Summary!$B$6,NA()))+(MATCH(1,E290:L290,0)-1)*Summary!$B$7+(MATCH(1,M290:T290,0)-1)*Summary!$B$8+(MATCH(1,U290:AB290,0)-1)*Summary!$B$9</f>
        <v>65.875</v>
      </c>
      <c r="C290" s="35" t="n">
        <v>0</v>
      </c>
      <c r="D290" s="35" t="n">
        <v>1</v>
      </c>
      <c r="E290" s="35" t="n">
        <v>0</v>
      </c>
      <c r="F290" s="35" t="n">
        <v>0</v>
      </c>
      <c r="G290" s="35" t="n">
        <v>0</v>
      </c>
      <c r="H290" s="35" t="n">
        <v>0</v>
      </c>
      <c r="I290" s="35" t="n">
        <v>1</v>
      </c>
      <c r="J290" s="35" t="n">
        <v>0</v>
      </c>
      <c r="K290" s="35" t="n">
        <v>0</v>
      </c>
      <c r="L290" s="35" t="n">
        <v>0</v>
      </c>
      <c r="M290" s="35" t="n">
        <v>0</v>
      </c>
      <c r="N290" s="35" t="n">
        <v>0</v>
      </c>
      <c r="O290" s="35" t="n">
        <v>0</v>
      </c>
      <c r="P290" s="35" t="n">
        <v>1</v>
      </c>
      <c r="Q290" s="35" t="n">
        <v>0</v>
      </c>
      <c r="R290" s="35" t="n">
        <v>0</v>
      </c>
      <c r="S290" s="35" t="n">
        <v>0</v>
      </c>
      <c r="T290" s="35" t="n">
        <v>0</v>
      </c>
      <c r="U290" s="35" t="n">
        <v>0</v>
      </c>
      <c r="V290" s="35" t="n">
        <v>0</v>
      </c>
      <c r="W290" s="35" t="n">
        <v>0</v>
      </c>
      <c r="X290" s="35" t="n">
        <v>0</v>
      </c>
      <c r="Y290" s="35" t="n">
        <v>0</v>
      </c>
      <c r="Z290" s="35" t="n">
        <v>0</v>
      </c>
      <c r="AA290" s="35" t="n">
        <v>0</v>
      </c>
      <c r="AB290" s="35" t="n">
        <v>1</v>
      </c>
      <c r="AC290" s="33" t="s">
        <v>391</v>
      </c>
      <c r="AD290" s="36" t="n">
        <f aca="false">B290-B289</f>
        <v>0.125</v>
      </c>
    </row>
    <row r="291" customFormat="false" ht="15" hidden="false" customHeight="false" outlineLevel="0" collapsed="false">
      <c r="A291" s="30" t="n">
        <v>288</v>
      </c>
      <c r="B291" s="31" t="n">
        <f aca="false">Summary!$B$5+IF(D291=1,0,IF(C291=1,Summary!$B$6,NA()))+(MATCH(1,E291:L291,0)-1)*Summary!$B$7+(MATCH(1,M291:T291,0)-1)*Summary!$B$8+(MATCH(1,U291:AB291,0)-1)*Summary!$B$9</f>
        <v>66</v>
      </c>
      <c r="C291" s="32" t="n">
        <v>0</v>
      </c>
      <c r="D291" s="32" t="n">
        <v>1</v>
      </c>
      <c r="E291" s="32" t="n">
        <v>0</v>
      </c>
      <c r="F291" s="32" t="n">
        <v>0</v>
      </c>
      <c r="G291" s="32" t="n">
        <v>0</v>
      </c>
      <c r="H291" s="32" t="n">
        <v>0</v>
      </c>
      <c r="I291" s="32" t="n">
        <v>1</v>
      </c>
      <c r="J291" s="32" t="n">
        <v>0</v>
      </c>
      <c r="K291" s="32" t="n">
        <v>0</v>
      </c>
      <c r="L291" s="32" t="n">
        <v>0</v>
      </c>
      <c r="M291" s="32" t="n">
        <v>0</v>
      </c>
      <c r="N291" s="32" t="n">
        <v>0</v>
      </c>
      <c r="O291" s="32" t="n">
        <v>0</v>
      </c>
      <c r="P291" s="32" t="n">
        <v>0</v>
      </c>
      <c r="Q291" s="32" t="n">
        <v>1</v>
      </c>
      <c r="R291" s="32" t="n">
        <v>0</v>
      </c>
      <c r="S291" s="32" t="n">
        <v>0</v>
      </c>
      <c r="T291" s="32" t="n">
        <v>0</v>
      </c>
      <c r="U291" s="32" t="n">
        <v>1</v>
      </c>
      <c r="V291" s="32" t="n">
        <v>0</v>
      </c>
      <c r="W291" s="32" t="n">
        <v>0</v>
      </c>
      <c r="X291" s="32" t="n">
        <v>0</v>
      </c>
      <c r="Y291" s="32" t="n">
        <v>0</v>
      </c>
      <c r="Z291" s="32" t="n">
        <v>0</v>
      </c>
      <c r="AA291" s="32" t="n">
        <v>0</v>
      </c>
      <c r="AB291" s="32" t="n">
        <v>0</v>
      </c>
      <c r="AC291" s="30" t="s">
        <v>392</v>
      </c>
      <c r="AD291" s="37" t="n">
        <f aca="false">B291-B290</f>
        <v>0.125</v>
      </c>
    </row>
    <row r="292" customFormat="false" ht="15" hidden="false" customHeight="false" outlineLevel="0" collapsed="false">
      <c r="A292" s="33" t="n">
        <v>289</v>
      </c>
      <c r="B292" s="34" t="n">
        <f aca="false">Summary!$B$5+IF(D292=1,0,IF(C292=1,Summary!$B$6,NA()))+(MATCH(1,E292:L292,0)-1)*Summary!$B$7+(MATCH(1,M292:T292,0)-1)*Summary!$B$8+(MATCH(1,U292:AB292,0)-1)*Summary!$B$9</f>
        <v>66.125</v>
      </c>
      <c r="C292" s="35" t="n">
        <v>0</v>
      </c>
      <c r="D292" s="35" t="n">
        <v>1</v>
      </c>
      <c r="E292" s="35" t="n">
        <v>0</v>
      </c>
      <c r="F292" s="35" t="n">
        <v>0</v>
      </c>
      <c r="G292" s="35" t="n">
        <v>0</v>
      </c>
      <c r="H292" s="35" t="n">
        <v>0</v>
      </c>
      <c r="I292" s="35" t="n">
        <v>1</v>
      </c>
      <c r="J292" s="35" t="n">
        <v>0</v>
      </c>
      <c r="K292" s="35" t="n">
        <v>0</v>
      </c>
      <c r="L292" s="35" t="n">
        <v>0</v>
      </c>
      <c r="M292" s="35" t="n">
        <v>0</v>
      </c>
      <c r="N292" s="35" t="n">
        <v>0</v>
      </c>
      <c r="O292" s="35" t="n">
        <v>0</v>
      </c>
      <c r="P292" s="35" t="n">
        <v>0</v>
      </c>
      <c r="Q292" s="35" t="n">
        <v>1</v>
      </c>
      <c r="R292" s="35" t="n">
        <v>0</v>
      </c>
      <c r="S292" s="35" t="n">
        <v>0</v>
      </c>
      <c r="T292" s="35" t="n">
        <v>0</v>
      </c>
      <c r="U292" s="35" t="n">
        <v>0</v>
      </c>
      <c r="V292" s="35" t="n">
        <v>1</v>
      </c>
      <c r="W292" s="35" t="n">
        <v>0</v>
      </c>
      <c r="X292" s="35" t="n">
        <v>0</v>
      </c>
      <c r="Y292" s="35" t="n">
        <v>0</v>
      </c>
      <c r="Z292" s="35" t="n">
        <v>0</v>
      </c>
      <c r="AA292" s="35" t="n">
        <v>0</v>
      </c>
      <c r="AB292" s="35" t="n">
        <v>0</v>
      </c>
      <c r="AC292" s="33" t="s">
        <v>393</v>
      </c>
      <c r="AD292" s="36" t="n">
        <f aca="false">B292-B291</f>
        <v>0.125</v>
      </c>
    </row>
    <row r="293" customFormat="false" ht="15" hidden="false" customHeight="false" outlineLevel="0" collapsed="false">
      <c r="A293" s="30" t="n">
        <v>290</v>
      </c>
      <c r="B293" s="31" t="n">
        <f aca="false">Summary!$B$5+IF(D293=1,0,IF(C293=1,Summary!$B$6,NA()))+(MATCH(1,E293:L293,0)-1)*Summary!$B$7+(MATCH(1,M293:T293,0)-1)*Summary!$B$8+(MATCH(1,U293:AB293,0)-1)*Summary!$B$9</f>
        <v>66.25</v>
      </c>
      <c r="C293" s="32" t="n">
        <v>0</v>
      </c>
      <c r="D293" s="32" t="n">
        <v>1</v>
      </c>
      <c r="E293" s="32" t="n">
        <v>0</v>
      </c>
      <c r="F293" s="32" t="n">
        <v>0</v>
      </c>
      <c r="G293" s="32" t="n">
        <v>0</v>
      </c>
      <c r="H293" s="32" t="n">
        <v>0</v>
      </c>
      <c r="I293" s="32" t="n">
        <v>1</v>
      </c>
      <c r="J293" s="32" t="n">
        <v>0</v>
      </c>
      <c r="K293" s="32" t="n">
        <v>0</v>
      </c>
      <c r="L293" s="32" t="n">
        <v>0</v>
      </c>
      <c r="M293" s="32" t="n">
        <v>0</v>
      </c>
      <c r="N293" s="32" t="n">
        <v>0</v>
      </c>
      <c r="O293" s="32" t="n">
        <v>0</v>
      </c>
      <c r="P293" s="32" t="n">
        <v>0</v>
      </c>
      <c r="Q293" s="32" t="n">
        <v>1</v>
      </c>
      <c r="R293" s="32" t="n">
        <v>0</v>
      </c>
      <c r="S293" s="32" t="n">
        <v>0</v>
      </c>
      <c r="T293" s="32" t="n">
        <v>0</v>
      </c>
      <c r="U293" s="32" t="n">
        <v>0</v>
      </c>
      <c r="V293" s="32" t="n">
        <v>0</v>
      </c>
      <c r="W293" s="32" t="n">
        <v>1</v>
      </c>
      <c r="X293" s="32" t="n">
        <v>0</v>
      </c>
      <c r="Y293" s="32" t="n">
        <v>0</v>
      </c>
      <c r="Z293" s="32" t="n">
        <v>0</v>
      </c>
      <c r="AA293" s="32" t="n">
        <v>0</v>
      </c>
      <c r="AB293" s="32" t="n">
        <v>0</v>
      </c>
      <c r="AC293" s="30" t="s">
        <v>394</v>
      </c>
      <c r="AD293" s="37" t="n">
        <f aca="false">B293-B292</f>
        <v>0.125</v>
      </c>
    </row>
    <row r="294" customFormat="false" ht="15" hidden="false" customHeight="false" outlineLevel="0" collapsed="false">
      <c r="A294" s="33" t="n">
        <v>291</v>
      </c>
      <c r="B294" s="34" t="n">
        <f aca="false">Summary!$B$5+IF(D294=1,0,IF(C294=1,Summary!$B$6,NA()))+(MATCH(1,E294:L294,0)-1)*Summary!$B$7+(MATCH(1,M294:T294,0)-1)*Summary!$B$8+(MATCH(1,U294:AB294,0)-1)*Summary!$B$9</f>
        <v>66.375</v>
      </c>
      <c r="C294" s="35" t="n">
        <v>0</v>
      </c>
      <c r="D294" s="35" t="n">
        <v>1</v>
      </c>
      <c r="E294" s="35" t="n">
        <v>0</v>
      </c>
      <c r="F294" s="35" t="n">
        <v>0</v>
      </c>
      <c r="G294" s="35" t="n">
        <v>0</v>
      </c>
      <c r="H294" s="35" t="n">
        <v>0</v>
      </c>
      <c r="I294" s="35" t="n">
        <v>1</v>
      </c>
      <c r="J294" s="35" t="n">
        <v>0</v>
      </c>
      <c r="K294" s="35" t="n">
        <v>0</v>
      </c>
      <c r="L294" s="35" t="n">
        <v>0</v>
      </c>
      <c r="M294" s="35" t="n">
        <v>0</v>
      </c>
      <c r="N294" s="35" t="n">
        <v>0</v>
      </c>
      <c r="O294" s="35" t="n">
        <v>0</v>
      </c>
      <c r="P294" s="35" t="n">
        <v>0</v>
      </c>
      <c r="Q294" s="35" t="n">
        <v>1</v>
      </c>
      <c r="R294" s="35" t="n">
        <v>0</v>
      </c>
      <c r="S294" s="35" t="n">
        <v>0</v>
      </c>
      <c r="T294" s="35" t="n">
        <v>0</v>
      </c>
      <c r="U294" s="35" t="n">
        <v>0</v>
      </c>
      <c r="V294" s="35" t="n">
        <v>0</v>
      </c>
      <c r="W294" s="35" t="n">
        <v>0</v>
      </c>
      <c r="X294" s="35" t="n">
        <v>1</v>
      </c>
      <c r="Y294" s="35" t="n">
        <v>0</v>
      </c>
      <c r="Z294" s="35" t="n">
        <v>0</v>
      </c>
      <c r="AA294" s="35" t="n">
        <v>0</v>
      </c>
      <c r="AB294" s="35" t="n">
        <v>0</v>
      </c>
      <c r="AC294" s="33" t="s">
        <v>395</v>
      </c>
      <c r="AD294" s="36" t="n">
        <f aca="false">B294-B293</f>
        <v>0.125</v>
      </c>
    </row>
    <row r="295" customFormat="false" ht="15" hidden="false" customHeight="false" outlineLevel="0" collapsed="false">
      <c r="A295" s="30" t="n">
        <v>292</v>
      </c>
      <c r="B295" s="31" t="n">
        <f aca="false">Summary!$B$5+IF(D295=1,0,IF(C295=1,Summary!$B$6,NA()))+(MATCH(1,E295:L295,0)-1)*Summary!$B$7+(MATCH(1,M295:T295,0)-1)*Summary!$B$8+(MATCH(1,U295:AB295,0)-1)*Summary!$B$9</f>
        <v>66.5</v>
      </c>
      <c r="C295" s="32" t="n">
        <v>0</v>
      </c>
      <c r="D295" s="32" t="n">
        <v>1</v>
      </c>
      <c r="E295" s="32" t="n">
        <v>0</v>
      </c>
      <c r="F295" s="32" t="n">
        <v>0</v>
      </c>
      <c r="G295" s="32" t="n">
        <v>0</v>
      </c>
      <c r="H295" s="32" t="n">
        <v>0</v>
      </c>
      <c r="I295" s="32" t="n">
        <v>1</v>
      </c>
      <c r="J295" s="32" t="n">
        <v>0</v>
      </c>
      <c r="K295" s="32" t="n">
        <v>0</v>
      </c>
      <c r="L295" s="32" t="n">
        <v>0</v>
      </c>
      <c r="M295" s="32" t="n">
        <v>0</v>
      </c>
      <c r="N295" s="32" t="n">
        <v>0</v>
      </c>
      <c r="O295" s="32" t="n">
        <v>0</v>
      </c>
      <c r="P295" s="32" t="n">
        <v>0</v>
      </c>
      <c r="Q295" s="32" t="n">
        <v>1</v>
      </c>
      <c r="R295" s="32" t="n">
        <v>0</v>
      </c>
      <c r="S295" s="32" t="n">
        <v>0</v>
      </c>
      <c r="T295" s="32" t="n">
        <v>0</v>
      </c>
      <c r="U295" s="32" t="n">
        <v>0</v>
      </c>
      <c r="V295" s="32" t="n">
        <v>0</v>
      </c>
      <c r="W295" s="32" t="n">
        <v>0</v>
      </c>
      <c r="X295" s="32" t="n">
        <v>0</v>
      </c>
      <c r="Y295" s="32" t="n">
        <v>1</v>
      </c>
      <c r="Z295" s="32" t="n">
        <v>0</v>
      </c>
      <c r="AA295" s="32" t="n">
        <v>0</v>
      </c>
      <c r="AB295" s="32" t="n">
        <v>0</v>
      </c>
      <c r="AC295" s="30" t="s">
        <v>396</v>
      </c>
      <c r="AD295" s="37" t="n">
        <f aca="false">B295-B294</f>
        <v>0.125</v>
      </c>
    </row>
    <row r="296" customFormat="false" ht="15" hidden="false" customHeight="false" outlineLevel="0" collapsed="false">
      <c r="A296" s="33" t="n">
        <v>293</v>
      </c>
      <c r="B296" s="34" t="n">
        <f aca="false">Summary!$B$5+IF(D296=1,0,IF(C296=1,Summary!$B$6,NA()))+(MATCH(1,E296:L296,0)-1)*Summary!$B$7+(MATCH(1,M296:T296,0)-1)*Summary!$B$8+(MATCH(1,U296:AB296,0)-1)*Summary!$B$9</f>
        <v>66.625</v>
      </c>
      <c r="C296" s="35" t="n">
        <v>0</v>
      </c>
      <c r="D296" s="35" t="n">
        <v>1</v>
      </c>
      <c r="E296" s="35" t="n">
        <v>0</v>
      </c>
      <c r="F296" s="35" t="n">
        <v>0</v>
      </c>
      <c r="G296" s="35" t="n">
        <v>0</v>
      </c>
      <c r="H296" s="35" t="n">
        <v>0</v>
      </c>
      <c r="I296" s="35" t="n">
        <v>1</v>
      </c>
      <c r="J296" s="35" t="n">
        <v>0</v>
      </c>
      <c r="K296" s="35" t="n">
        <v>0</v>
      </c>
      <c r="L296" s="35" t="n">
        <v>0</v>
      </c>
      <c r="M296" s="35" t="n">
        <v>0</v>
      </c>
      <c r="N296" s="35" t="n">
        <v>0</v>
      </c>
      <c r="O296" s="35" t="n">
        <v>0</v>
      </c>
      <c r="P296" s="35" t="n">
        <v>0</v>
      </c>
      <c r="Q296" s="35" t="n">
        <v>1</v>
      </c>
      <c r="R296" s="35" t="n">
        <v>0</v>
      </c>
      <c r="S296" s="35" t="n">
        <v>0</v>
      </c>
      <c r="T296" s="35" t="n">
        <v>0</v>
      </c>
      <c r="U296" s="35" t="n">
        <v>0</v>
      </c>
      <c r="V296" s="35" t="n">
        <v>0</v>
      </c>
      <c r="W296" s="35" t="n">
        <v>0</v>
      </c>
      <c r="X296" s="35" t="n">
        <v>0</v>
      </c>
      <c r="Y296" s="35" t="n">
        <v>0</v>
      </c>
      <c r="Z296" s="35" t="n">
        <v>1</v>
      </c>
      <c r="AA296" s="35" t="n">
        <v>0</v>
      </c>
      <c r="AB296" s="35" t="n">
        <v>0</v>
      </c>
      <c r="AC296" s="33" t="s">
        <v>397</v>
      </c>
      <c r="AD296" s="36" t="n">
        <f aca="false">B296-B295</f>
        <v>0.125</v>
      </c>
    </row>
    <row r="297" customFormat="false" ht="15" hidden="false" customHeight="false" outlineLevel="0" collapsed="false">
      <c r="A297" s="30" t="n">
        <v>294</v>
      </c>
      <c r="B297" s="31" t="n">
        <f aca="false">Summary!$B$5+IF(D297=1,0,IF(C297=1,Summary!$B$6,NA()))+(MATCH(1,E297:L297,0)-1)*Summary!$B$7+(MATCH(1,M297:T297,0)-1)*Summary!$B$8+(MATCH(1,U297:AB297,0)-1)*Summary!$B$9</f>
        <v>66.75</v>
      </c>
      <c r="C297" s="32" t="n">
        <v>0</v>
      </c>
      <c r="D297" s="32" t="n">
        <v>1</v>
      </c>
      <c r="E297" s="32" t="n">
        <v>0</v>
      </c>
      <c r="F297" s="32" t="n">
        <v>0</v>
      </c>
      <c r="G297" s="32" t="n">
        <v>0</v>
      </c>
      <c r="H297" s="32" t="n">
        <v>0</v>
      </c>
      <c r="I297" s="32" t="n">
        <v>1</v>
      </c>
      <c r="J297" s="32" t="n">
        <v>0</v>
      </c>
      <c r="K297" s="32" t="n">
        <v>0</v>
      </c>
      <c r="L297" s="32" t="n">
        <v>0</v>
      </c>
      <c r="M297" s="32" t="n">
        <v>0</v>
      </c>
      <c r="N297" s="32" t="n">
        <v>0</v>
      </c>
      <c r="O297" s="32" t="n">
        <v>0</v>
      </c>
      <c r="P297" s="32" t="n">
        <v>0</v>
      </c>
      <c r="Q297" s="32" t="n">
        <v>1</v>
      </c>
      <c r="R297" s="32" t="n">
        <v>0</v>
      </c>
      <c r="S297" s="32" t="n">
        <v>0</v>
      </c>
      <c r="T297" s="32" t="n">
        <v>0</v>
      </c>
      <c r="U297" s="32" t="n">
        <v>0</v>
      </c>
      <c r="V297" s="32" t="n">
        <v>0</v>
      </c>
      <c r="W297" s="32" t="n">
        <v>0</v>
      </c>
      <c r="X297" s="32" t="n">
        <v>0</v>
      </c>
      <c r="Y297" s="32" t="n">
        <v>0</v>
      </c>
      <c r="Z297" s="32" t="n">
        <v>0</v>
      </c>
      <c r="AA297" s="32" t="n">
        <v>1</v>
      </c>
      <c r="AB297" s="32" t="n">
        <v>0</v>
      </c>
      <c r="AC297" s="30" t="s">
        <v>398</v>
      </c>
      <c r="AD297" s="37" t="n">
        <f aca="false">B297-B296</f>
        <v>0.125</v>
      </c>
    </row>
    <row r="298" customFormat="false" ht="15" hidden="false" customHeight="false" outlineLevel="0" collapsed="false">
      <c r="A298" s="33" t="n">
        <v>295</v>
      </c>
      <c r="B298" s="34" t="n">
        <f aca="false">Summary!$B$5+IF(D298=1,0,IF(C298=1,Summary!$B$6,NA()))+(MATCH(1,E298:L298,0)-1)*Summary!$B$7+(MATCH(1,M298:T298,0)-1)*Summary!$B$8+(MATCH(1,U298:AB298,0)-1)*Summary!$B$9</f>
        <v>66.875</v>
      </c>
      <c r="C298" s="35" t="n">
        <v>0</v>
      </c>
      <c r="D298" s="35" t="n">
        <v>1</v>
      </c>
      <c r="E298" s="35" t="n">
        <v>0</v>
      </c>
      <c r="F298" s="35" t="n">
        <v>0</v>
      </c>
      <c r="G298" s="35" t="n">
        <v>0</v>
      </c>
      <c r="H298" s="35" t="n">
        <v>0</v>
      </c>
      <c r="I298" s="35" t="n">
        <v>1</v>
      </c>
      <c r="J298" s="35" t="n">
        <v>0</v>
      </c>
      <c r="K298" s="35" t="n">
        <v>0</v>
      </c>
      <c r="L298" s="35" t="n">
        <v>0</v>
      </c>
      <c r="M298" s="35" t="n">
        <v>0</v>
      </c>
      <c r="N298" s="35" t="n">
        <v>0</v>
      </c>
      <c r="O298" s="35" t="n">
        <v>0</v>
      </c>
      <c r="P298" s="35" t="n">
        <v>0</v>
      </c>
      <c r="Q298" s="35" t="n">
        <v>1</v>
      </c>
      <c r="R298" s="35" t="n">
        <v>0</v>
      </c>
      <c r="S298" s="35" t="n">
        <v>0</v>
      </c>
      <c r="T298" s="35" t="n">
        <v>0</v>
      </c>
      <c r="U298" s="35" t="n">
        <v>0</v>
      </c>
      <c r="V298" s="35" t="n">
        <v>0</v>
      </c>
      <c r="W298" s="35" t="n">
        <v>0</v>
      </c>
      <c r="X298" s="35" t="n">
        <v>0</v>
      </c>
      <c r="Y298" s="35" t="n">
        <v>0</v>
      </c>
      <c r="Z298" s="35" t="n">
        <v>0</v>
      </c>
      <c r="AA298" s="35" t="n">
        <v>0</v>
      </c>
      <c r="AB298" s="35" t="n">
        <v>1</v>
      </c>
      <c r="AC298" s="33" t="s">
        <v>399</v>
      </c>
      <c r="AD298" s="36" t="n">
        <f aca="false">B298-B297</f>
        <v>0.125</v>
      </c>
    </row>
    <row r="299" customFormat="false" ht="15" hidden="false" customHeight="false" outlineLevel="0" collapsed="false">
      <c r="A299" s="30" t="n">
        <v>296</v>
      </c>
      <c r="B299" s="31" t="n">
        <f aca="false">Summary!$B$5+IF(D299=1,0,IF(C299=1,Summary!$B$6,NA()))+(MATCH(1,E299:L299,0)-1)*Summary!$B$7+(MATCH(1,M299:T299,0)-1)*Summary!$B$8+(MATCH(1,U299:AB299,0)-1)*Summary!$B$9</f>
        <v>67</v>
      </c>
      <c r="C299" s="32" t="n">
        <v>0</v>
      </c>
      <c r="D299" s="32" t="n">
        <v>1</v>
      </c>
      <c r="E299" s="32" t="n">
        <v>0</v>
      </c>
      <c r="F299" s="32" t="n">
        <v>0</v>
      </c>
      <c r="G299" s="32" t="n">
        <v>0</v>
      </c>
      <c r="H299" s="32" t="n">
        <v>0</v>
      </c>
      <c r="I299" s="32" t="n">
        <v>1</v>
      </c>
      <c r="J299" s="32" t="n">
        <v>0</v>
      </c>
      <c r="K299" s="32" t="n">
        <v>0</v>
      </c>
      <c r="L299" s="32" t="n">
        <v>0</v>
      </c>
      <c r="M299" s="32" t="n">
        <v>0</v>
      </c>
      <c r="N299" s="32" t="n">
        <v>0</v>
      </c>
      <c r="O299" s="32" t="n">
        <v>0</v>
      </c>
      <c r="P299" s="32" t="n">
        <v>0</v>
      </c>
      <c r="Q299" s="32" t="n">
        <v>0</v>
      </c>
      <c r="R299" s="32" t="n">
        <v>1</v>
      </c>
      <c r="S299" s="32" t="n">
        <v>0</v>
      </c>
      <c r="T299" s="32" t="n">
        <v>0</v>
      </c>
      <c r="U299" s="32" t="n">
        <v>1</v>
      </c>
      <c r="V299" s="32" t="n">
        <v>0</v>
      </c>
      <c r="W299" s="32" t="n">
        <v>0</v>
      </c>
      <c r="X299" s="32" t="n">
        <v>0</v>
      </c>
      <c r="Y299" s="32" t="n">
        <v>0</v>
      </c>
      <c r="Z299" s="32" t="n">
        <v>0</v>
      </c>
      <c r="AA299" s="32" t="n">
        <v>0</v>
      </c>
      <c r="AB299" s="32" t="n">
        <v>0</v>
      </c>
      <c r="AC299" s="30" t="s">
        <v>400</v>
      </c>
      <c r="AD299" s="37" t="n">
        <f aca="false">B299-B298</f>
        <v>0.125</v>
      </c>
    </row>
    <row r="300" customFormat="false" ht="15" hidden="false" customHeight="false" outlineLevel="0" collapsed="false">
      <c r="A300" s="33" t="n">
        <v>297</v>
      </c>
      <c r="B300" s="34" t="n">
        <f aca="false">Summary!$B$5+IF(D300=1,0,IF(C300=1,Summary!$B$6,NA()))+(MATCH(1,E300:L300,0)-1)*Summary!$B$7+(MATCH(1,M300:T300,0)-1)*Summary!$B$8+(MATCH(1,U300:AB300,0)-1)*Summary!$B$9</f>
        <v>67.125</v>
      </c>
      <c r="C300" s="35" t="n">
        <v>0</v>
      </c>
      <c r="D300" s="35" t="n">
        <v>1</v>
      </c>
      <c r="E300" s="35" t="n">
        <v>0</v>
      </c>
      <c r="F300" s="35" t="n">
        <v>0</v>
      </c>
      <c r="G300" s="35" t="n">
        <v>0</v>
      </c>
      <c r="H300" s="35" t="n">
        <v>0</v>
      </c>
      <c r="I300" s="35" t="n">
        <v>1</v>
      </c>
      <c r="J300" s="35" t="n">
        <v>0</v>
      </c>
      <c r="K300" s="35" t="n">
        <v>0</v>
      </c>
      <c r="L300" s="35" t="n">
        <v>0</v>
      </c>
      <c r="M300" s="35" t="n">
        <v>0</v>
      </c>
      <c r="N300" s="35" t="n">
        <v>0</v>
      </c>
      <c r="O300" s="35" t="n">
        <v>0</v>
      </c>
      <c r="P300" s="35" t="n">
        <v>0</v>
      </c>
      <c r="Q300" s="35" t="n">
        <v>0</v>
      </c>
      <c r="R300" s="35" t="n">
        <v>1</v>
      </c>
      <c r="S300" s="35" t="n">
        <v>0</v>
      </c>
      <c r="T300" s="35" t="n">
        <v>0</v>
      </c>
      <c r="U300" s="35" t="n">
        <v>0</v>
      </c>
      <c r="V300" s="35" t="n">
        <v>1</v>
      </c>
      <c r="W300" s="35" t="n">
        <v>0</v>
      </c>
      <c r="X300" s="35" t="n">
        <v>0</v>
      </c>
      <c r="Y300" s="35" t="n">
        <v>0</v>
      </c>
      <c r="Z300" s="35" t="n">
        <v>0</v>
      </c>
      <c r="AA300" s="35" t="n">
        <v>0</v>
      </c>
      <c r="AB300" s="35" t="n">
        <v>0</v>
      </c>
      <c r="AC300" s="33" t="s">
        <v>401</v>
      </c>
      <c r="AD300" s="36" t="n">
        <f aca="false">B300-B299</f>
        <v>0.125</v>
      </c>
    </row>
    <row r="301" customFormat="false" ht="15" hidden="false" customHeight="false" outlineLevel="0" collapsed="false">
      <c r="A301" s="30" t="n">
        <v>298</v>
      </c>
      <c r="B301" s="31" t="n">
        <f aca="false">Summary!$B$5+IF(D301=1,0,IF(C301=1,Summary!$B$6,NA()))+(MATCH(1,E301:L301,0)-1)*Summary!$B$7+(MATCH(1,M301:T301,0)-1)*Summary!$B$8+(MATCH(1,U301:AB301,0)-1)*Summary!$B$9</f>
        <v>67.25</v>
      </c>
      <c r="C301" s="32" t="n">
        <v>0</v>
      </c>
      <c r="D301" s="32" t="n">
        <v>1</v>
      </c>
      <c r="E301" s="32" t="n">
        <v>0</v>
      </c>
      <c r="F301" s="32" t="n">
        <v>0</v>
      </c>
      <c r="G301" s="32" t="n">
        <v>0</v>
      </c>
      <c r="H301" s="32" t="n">
        <v>0</v>
      </c>
      <c r="I301" s="32" t="n">
        <v>1</v>
      </c>
      <c r="J301" s="32" t="n">
        <v>0</v>
      </c>
      <c r="K301" s="32" t="n">
        <v>0</v>
      </c>
      <c r="L301" s="32" t="n">
        <v>0</v>
      </c>
      <c r="M301" s="32" t="n">
        <v>0</v>
      </c>
      <c r="N301" s="32" t="n">
        <v>0</v>
      </c>
      <c r="O301" s="32" t="n">
        <v>0</v>
      </c>
      <c r="P301" s="32" t="n">
        <v>0</v>
      </c>
      <c r="Q301" s="32" t="n">
        <v>0</v>
      </c>
      <c r="R301" s="32" t="n">
        <v>1</v>
      </c>
      <c r="S301" s="32" t="n">
        <v>0</v>
      </c>
      <c r="T301" s="32" t="n">
        <v>0</v>
      </c>
      <c r="U301" s="32" t="n">
        <v>0</v>
      </c>
      <c r="V301" s="32" t="n">
        <v>0</v>
      </c>
      <c r="W301" s="32" t="n">
        <v>1</v>
      </c>
      <c r="X301" s="32" t="n">
        <v>0</v>
      </c>
      <c r="Y301" s="32" t="n">
        <v>0</v>
      </c>
      <c r="Z301" s="32" t="n">
        <v>0</v>
      </c>
      <c r="AA301" s="32" t="n">
        <v>0</v>
      </c>
      <c r="AB301" s="32" t="n">
        <v>0</v>
      </c>
      <c r="AC301" s="30" t="s">
        <v>402</v>
      </c>
      <c r="AD301" s="37" t="n">
        <f aca="false">B301-B300</f>
        <v>0.125</v>
      </c>
    </row>
    <row r="302" customFormat="false" ht="15" hidden="false" customHeight="false" outlineLevel="0" collapsed="false">
      <c r="A302" s="33" t="n">
        <v>299</v>
      </c>
      <c r="B302" s="34" t="n">
        <f aca="false">Summary!$B$5+IF(D302=1,0,IF(C302=1,Summary!$B$6,NA()))+(MATCH(1,E302:L302,0)-1)*Summary!$B$7+(MATCH(1,M302:T302,0)-1)*Summary!$B$8+(MATCH(1,U302:AB302,0)-1)*Summary!$B$9</f>
        <v>67.375</v>
      </c>
      <c r="C302" s="35" t="n">
        <v>0</v>
      </c>
      <c r="D302" s="35" t="n">
        <v>1</v>
      </c>
      <c r="E302" s="35" t="n">
        <v>0</v>
      </c>
      <c r="F302" s="35" t="n">
        <v>0</v>
      </c>
      <c r="G302" s="35" t="n">
        <v>0</v>
      </c>
      <c r="H302" s="35" t="n">
        <v>0</v>
      </c>
      <c r="I302" s="35" t="n">
        <v>1</v>
      </c>
      <c r="J302" s="35" t="n">
        <v>0</v>
      </c>
      <c r="K302" s="35" t="n">
        <v>0</v>
      </c>
      <c r="L302" s="35" t="n">
        <v>0</v>
      </c>
      <c r="M302" s="35" t="n">
        <v>0</v>
      </c>
      <c r="N302" s="35" t="n">
        <v>0</v>
      </c>
      <c r="O302" s="35" t="n">
        <v>0</v>
      </c>
      <c r="P302" s="35" t="n">
        <v>0</v>
      </c>
      <c r="Q302" s="35" t="n">
        <v>0</v>
      </c>
      <c r="R302" s="35" t="n">
        <v>1</v>
      </c>
      <c r="S302" s="35" t="n">
        <v>0</v>
      </c>
      <c r="T302" s="35" t="n">
        <v>0</v>
      </c>
      <c r="U302" s="35" t="n">
        <v>0</v>
      </c>
      <c r="V302" s="35" t="n">
        <v>0</v>
      </c>
      <c r="W302" s="35" t="n">
        <v>0</v>
      </c>
      <c r="X302" s="35" t="n">
        <v>1</v>
      </c>
      <c r="Y302" s="35" t="n">
        <v>0</v>
      </c>
      <c r="Z302" s="35" t="n">
        <v>0</v>
      </c>
      <c r="AA302" s="35" t="n">
        <v>0</v>
      </c>
      <c r="AB302" s="35" t="n">
        <v>0</v>
      </c>
      <c r="AC302" s="33" t="s">
        <v>403</v>
      </c>
      <c r="AD302" s="36" t="n">
        <f aca="false">B302-B301</f>
        <v>0.125</v>
      </c>
    </row>
    <row r="303" customFormat="false" ht="15" hidden="false" customHeight="false" outlineLevel="0" collapsed="false">
      <c r="A303" s="30" t="n">
        <v>300</v>
      </c>
      <c r="B303" s="31" t="n">
        <f aca="false">Summary!$B$5+IF(D303=1,0,IF(C303=1,Summary!$B$6,NA()))+(MATCH(1,E303:L303,0)-1)*Summary!$B$7+(MATCH(1,M303:T303,0)-1)*Summary!$B$8+(MATCH(1,U303:AB303,0)-1)*Summary!$B$9</f>
        <v>67.5</v>
      </c>
      <c r="C303" s="32" t="n">
        <v>0</v>
      </c>
      <c r="D303" s="32" t="n">
        <v>1</v>
      </c>
      <c r="E303" s="32" t="n">
        <v>0</v>
      </c>
      <c r="F303" s="32" t="n">
        <v>0</v>
      </c>
      <c r="G303" s="32" t="n">
        <v>0</v>
      </c>
      <c r="H303" s="32" t="n">
        <v>0</v>
      </c>
      <c r="I303" s="32" t="n">
        <v>1</v>
      </c>
      <c r="J303" s="32" t="n">
        <v>0</v>
      </c>
      <c r="K303" s="32" t="n">
        <v>0</v>
      </c>
      <c r="L303" s="32" t="n">
        <v>0</v>
      </c>
      <c r="M303" s="32" t="n">
        <v>0</v>
      </c>
      <c r="N303" s="32" t="n">
        <v>0</v>
      </c>
      <c r="O303" s="32" t="n">
        <v>0</v>
      </c>
      <c r="P303" s="32" t="n">
        <v>0</v>
      </c>
      <c r="Q303" s="32" t="n">
        <v>0</v>
      </c>
      <c r="R303" s="32" t="n">
        <v>1</v>
      </c>
      <c r="S303" s="32" t="n">
        <v>0</v>
      </c>
      <c r="T303" s="32" t="n">
        <v>0</v>
      </c>
      <c r="U303" s="32" t="n">
        <v>0</v>
      </c>
      <c r="V303" s="32" t="n">
        <v>0</v>
      </c>
      <c r="W303" s="32" t="n">
        <v>0</v>
      </c>
      <c r="X303" s="32" t="n">
        <v>0</v>
      </c>
      <c r="Y303" s="32" t="n">
        <v>1</v>
      </c>
      <c r="Z303" s="32" t="n">
        <v>0</v>
      </c>
      <c r="AA303" s="32" t="n">
        <v>0</v>
      </c>
      <c r="AB303" s="32" t="n">
        <v>0</v>
      </c>
      <c r="AC303" s="30" t="s">
        <v>404</v>
      </c>
      <c r="AD303" s="37" t="n">
        <f aca="false">B303-B302</f>
        <v>0.125</v>
      </c>
    </row>
    <row r="304" customFormat="false" ht="15" hidden="false" customHeight="false" outlineLevel="0" collapsed="false">
      <c r="A304" s="33" t="n">
        <v>301</v>
      </c>
      <c r="B304" s="34" t="n">
        <f aca="false">Summary!$B$5+IF(D304=1,0,IF(C304=1,Summary!$B$6,NA()))+(MATCH(1,E304:L304,0)-1)*Summary!$B$7+(MATCH(1,M304:T304,0)-1)*Summary!$B$8+(MATCH(1,U304:AB304,0)-1)*Summary!$B$9</f>
        <v>67.625</v>
      </c>
      <c r="C304" s="35" t="n">
        <v>0</v>
      </c>
      <c r="D304" s="35" t="n">
        <v>1</v>
      </c>
      <c r="E304" s="35" t="n">
        <v>0</v>
      </c>
      <c r="F304" s="35" t="n">
        <v>0</v>
      </c>
      <c r="G304" s="35" t="n">
        <v>0</v>
      </c>
      <c r="H304" s="35" t="n">
        <v>0</v>
      </c>
      <c r="I304" s="35" t="n">
        <v>1</v>
      </c>
      <c r="J304" s="35" t="n">
        <v>0</v>
      </c>
      <c r="K304" s="35" t="n">
        <v>0</v>
      </c>
      <c r="L304" s="35" t="n">
        <v>0</v>
      </c>
      <c r="M304" s="35" t="n">
        <v>0</v>
      </c>
      <c r="N304" s="35" t="n">
        <v>0</v>
      </c>
      <c r="O304" s="35" t="n">
        <v>0</v>
      </c>
      <c r="P304" s="35" t="n">
        <v>0</v>
      </c>
      <c r="Q304" s="35" t="n">
        <v>0</v>
      </c>
      <c r="R304" s="35" t="n">
        <v>1</v>
      </c>
      <c r="S304" s="35" t="n">
        <v>0</v>
      </c>
      <c r="T304" s="35" t="n">
        <v>0</v>
      </c>
      <c r="U304" s="35" t="n">
        <v>0</v>
      </c>
      <c r="V304" s="35" t="n">
        <v>0</v>
      </c>
      <c r="W304" s="35" t="n">
        <v>0</v>
      </c>
      <c r="X304" s="35" t="n">
        <v>0</v>
      </c>
      <c r="Y304" s="35" t="n">
        <v>0</v>
      </c>
      <c r="Z304" s="35" t="n">
        <v>1</v>
      </c>
      <c r="AA304" s="35" t="n">
        <v>0</v>
      </c>
      <c r="AB304" s="35" t="n">
        <v>0</v>
      </c>
      <c r="AC304" s="33" t="s">
        <v>405</v>
      </c>
      <c r="AD304" s="36" t="n">
        <f aca="false">B304-B303</f>
        <v>0.125</v>
      </c>
    </row>
    <row r="305" customFormat="false" ht="15" hidden="false" customHeight="false" outlineLevel="0" collapsed="false">
      <c r="A305" s="30" t="n">
        <v>302</v>
      </c>
      <c r="B305" s="31" t="n">
        <f aca="false">Summary!$B$5+IF(D305=1,0,IF(C305=1,Summary!$B$6,NA()))+(MATCH(1,E305:L305,0)-1)*Summary!$B$7+(MATCH(1,M305:T305,0)-1)*Summary!$B$8+(MATCH(1,U305:AB305,0)-1)*Summary!$B$9</f>
        <v>67.75</v>
      </c>
      <c r="C305" s="32" t="n">
        <v>0</v>
      </c>
      <c r="D305" s="32" t="n">
        <v>1</v>
      </c>
      <c r="E305" s="32" t="n">
        <v>0</v>
      </c>
      <c r="F305" s="32" t="n">
        <v>0</v>
      </c>
      <c r="G305" s="32" t="n">
        <v>0</v>
      </c>
      <c r="H305" s="32" t="n">
        <v>0</v>
      </c>
      <c r="I305" s="32" t="n">
        <v>1</v>
      </c>
      <c r="J305" s="32" t="n">
        <v>0</v>
      </c>
      <c r="K305" s="32" t="n">
        <v>0</v>
      </c>
      <c r="L305" s="32" t="n">
        <v>0</v>
      </c>
      <c r="M305" s="32" t="n">
        <v>0</v>
      </c>
      <c r="N305" s="32" t="n">
        <v>0</v>
      </c>
      <c r="O305" s="32" t="n">
        <v>0</v>
      </c>
      <c r="P305" s="32" t="n">
        <v>0</v>
      </c>
      <c r="Q305" s="32" t="n">
        <v>0</v>
      </c>
      <c r="R305" s="32" t="n">
        <v>1</v>
      </c>
      <c r="S305" s="32" t="n">
        <v>0</v>
      </c>
      <c r="T305" s="32" t="n">
        <v>0</v>
      </c>
      <c r="U305" s="32" t="n">
        <v>0</v>
      </c>
      <c r="V305" s="32" t="n">
        <v>0</v>
      </c>
      <c r="W305" s="32" t="n">
        <v>0</v>
      </c>
      <c r="X305" s="32" t="n">
        <v>0</v>
      </c>
      <c r="Y305" s="32" t="n">
        <v>0</v>
      </c>
      <c r="Z305" s="32" t="n">
        <v>0</v>
      </c>
      <c r="AA305" s="32" t="n">
        <v>1</v>
      </c>
      <c r="AB305" s="32" t="n">
        <v>0</v>
      </c>
      <c r="AC305" s="30" t="s">
        <v>406</v>
      </c>
      <c r="AD305" s="37" t="n">
        <f aca="false">B305-B304</f>
        <v>0.125</v>
      </c>
    </row>
    <row r="306" customFormat="false" ht="15" hidden="false" customHeight="false" outlineLevel="0" collapsed="false">
      <c r="A306" s="33" t="n">
        <v>303</v>
      </c>
      <c r="B306" s="34" t="n">
        <f aca="false">Summary!$B$5+IF(D306=1,0,IF(C306=1,Summary!$B$6,NA()))+(MATCH(1,E306:L306,0)-1)*Summary!$B$7+(MATCH(1,M306:T306,0)-1)*Summary!$B$8+(MATCH(1,U306:AB306,0)-1)*Summary!$B$9</f>
        <v>67.875</v>
      </c>
      <c r="C306" s="35" t="n">
        <v>0</v>
      </c>
      <c r="D306" s="35" t="n">
        <v>1</v>
      </c>
      <c r="E306" s="35" t="n">
        <v>0</v>
      </c>
      <c r="F306" s="35" t="n">
        <v>0</v>
      </c>
      <c r="G306" s="35" t="n">
        <v>0</v>
      </c>
      <c r="H306" s="35" t="n">
        <v>0</v>
      </c>
      <c r="I306" s="35" t="n">
        <v>1</v>
      </c>
      <c r="J306" s="35" t="n">
        <v>0</v>
      </c>
      <c r="K306" s="35" t="n">
        <v>0</v>
      </c>
      <c r="L306" s="35" t="n">
        <v>0</v>
      </c>
      <c r="M306" s="35" t="n">
        <v>0</v>
      </c>
      <c r="N306" s="35" t="n">
        <v>0</v>
      </c>
      <c r="O306" s="35" t="n">
        <v>0</v>
      </c>
      <c r="P306" s="35" t="n">
        <v>0</v>
      </c>
      <c r="Q306" s="35" t="n">
        <v>0</v>
      </c>
      <c r="R306" s="35" t="n">
        <v>1</v>
      </c>
      <c r="S306" s="35" t="n">
        <v>0</v>
      </c>
      <c r="T306" s="35" t="n">
        <v>0</v>
      </c>
      <c r="U306" s="35" t="n">
        <v>0</v>
      </c>
      <c r="V306" s="35" t="n">
        <v>0</v>
      </c>
      <c r="W306" s="35" t="n">
        <v>0</v>
      </c>
      <c r="X306" s="35" t="n">
        <v>0</v>
      </c>
      <c r="Y306" s="35" t="n">
        <v>0</v>
      </c>
      <c r="Z306" s="35" t="n">
        <v>0</v>
      </c>
      <c r="AA306" s="35" t="n">
        <v>0</v>
      </c>
      <c r="AB306" s="35" t="n">
        <v>1</v>
      </c>
      <c r="AC306" s="33" t="s">
        <v>407</v>
      </c>
      <c r="AD306" s="36" t="n">
        <f aca="false">B306-B305</f>
        <v>0.125</v>
      </c>
    </row>
    <row r="307" customFormat="false" ht="15" hidden="false" customHeight="false" outlineLevel="0" collapsed="false">
      <c r="A307" s="30" t="n">
        <v>304</v>
      </c>
      <c r="B307" s="31" t="n">
        <f aca="false">Summary!$B$5+IF(D307=1,0,IF(C307=1,Summary!$B$6,NA()))+(MATCH(1,E307:L307,0)-1)*Summary!$B$7+(MATCH(1,M307:T307,0)-1)*Summary!$B$8+(MATCH(1,U307:AB307,0)-1)*Summary!$B$9</f>
        <v>68</v>
      </c>
      <c r="C307" s="32" t="n">
        <v>0</v>
      </c>
      <c r="D307" s="32" t="n">
        <v>1</v>
      </c>
      <c r="E307" s="32" t="n">
        <v>0</v>
      </c>
      <c r="F307" s="32" t="n">
        <v>0</v>
      </c>
      <c r="G307" s="32" t="n">
        <v>0</v>
      </c>
      <c r="H307" s="32" t="n">
        <v>0</v>
      </c>
      <c r="I307" s="32" t="n">
        <v>1</v>
      </c>
      <c r="J307" s="32" t="n">
        <v>0</v>
      </c>
      <c r="K307" s="32" t="n">
        <v>0</v>
      </c>
      <c r="L307" s="32" t="n">
        <v>0</v>
      </c>
      <c r="M307" s="32" t="n">
        <v>0</v>
      </c>
      <c r="N307" s="32" t="n">
        <v>0</v>
      </c>
      <c r="O307" s="32" t="n">
        <v>0</v>
      </c>
      <c r="P307" s="32" t="n">
        <v>0</v>
      </c>
      <c r="Q307" s="32" t="n">
        <v>0</v>
      </c>
      <c r="R307" s="32" t="n">
        <v>0</v>
      </c>
      <c r="S307" s="32" t="n">
        <v>1</v>
      </c>
      <c r="T307" s="32" t="n">
        <v>0</v>
      </c>
      <c r="U307" s="32" t="n">
        <v>1</v>
      </c>
      <c r="V307" s="32" t="n">
        <v>0</v>
      </c>
      <c r="W307" s="32" t="n">
        <v>0</v>
      </c>
      <c r="X307" s="32" t="n">
        <v>0</v>
      </c>
      <c r="Y307" s="32" t="n">
        <v>0</v>
      </c>
      <c r="Z307" s="32" t="n">
        <v>0</v>
      </c>
      <c r="AA307" s="32" t="n">
        <v>0</v>
      </c>
      <c r="AB307" s="32" t="n">
        <v>0</v>
      </c>
      <c r="AC307" s="30" t="s">
        <v>408</v>
      </c>
      <c r="AD307" s="37" t="n">
        <f aca="false">B307-B306</f>
        <v>0.125</v>
      </c>
    </row>
    <row r="308" customFormat="false" ht="15" hidden="false" customHeight="false" outlineLevel="0" collapsed="false">
      <c r="A308" s="33" t="n">
        <v>305</v>
      </c>
      <c r="B308" s="34" t="n">
        <f aca="false">Summary!$B$5+IF(D308=1,0,IF(C308=1,Summary!$B$6,NA()))+(MATCH(1,E308:L308,0)-1)*Summary!$B$7+(MATCH(1,M308:T308,0)-1)*Summary!$B$8+(MATCH(1,U308:AB308,0)-1)*Summary!$B$9</f>
        <v>68.125</v>
      </c>
      <c r="C308" s="35" t="n">
        <v>0</v>
      </c>
      <c r="D308" s="35" t="n">
        <v>1</v>
      </c>
      <c r="E308" s="35" t="n">
        <v>0</v>
      </c>
      <c r="F308" s="35" t="n">
        <v>0</v>
      </c>
      <c r="G308" s="35" t="n">
        <v>0</v>
      </c>
      <c r="H308" s="35" t="n">
        <v>0</v>
      </c>
      <c r="I308" s="35" t="n">
        <v>1</v>
      </c>
      <c r="J308" s="35" t="n">
        <v>0</v>
      </c>
      <c r="K308" s="35" t="n">
        <v>0</v>
      </c>
      <c r="L308" s="35" t="n">
        <v>0</v>
      </c>
      <c r="M308" s="35" t="n">
        <v>0</v>
      </c>
      <c r="N308" s="35" t="n">
        <v>0</v>
      </c>
      <c r="O308" s="35" t="n">
        <v>0</v>
      </c>
      <c r="P308" s="35" t="n">
        <v>0</v>
      </c>
      <c r="Q308" s="35" t="n">
        <v>0</v>
      </c>
      <c r="R308" s="35" t="n">
        <v>0</v>
      </c>
      <c r="S308" s="35" t="n">
        <v>1</v>
      </c>
      <c r="T308" s="35" t="n">
        <v>0</v>
      </c>
      <c r="U308" s="35" t="n">
        <v>0</v>
      </c>
      <c r="V308" s="35" t="n">
        <v>1</v>
      </c>
      <c r="W308" s="35" t="n">
        <v>0</v>
      </c>
      <c r="X308" s="35" t="n">
        <v>0</v>
      </c>
      <c r="Y308" s="35" t="n">
        <v>0</v>
      </c>
      <c r="Z308" s="35" t="n">
        <v>0</v>
      </c>
      <c r="AA308" s="35" t="n">
        <v>0</v>
      </c>
      <c r="AB308" s="35" t="n">
        <v>0</v>
      </c>
      <c r="AC308" s="33" t="s">
        <v>409</v>
      </c>
      <c r="AD308" s="36" t="n">
        <f aca="false">B308-B307</f>
        <v>0.125</v>
      </c>
    </row>
    <row r="309" customFormat="false" ht="15" hidden="false" customHeight="false" outlineLevel="0" collapsed="false">
      <c r="A309" s="30" t="n">
        <v>306</v>
      </c>
      <c r="B309" s="31" t="n">
        <f aca="false">Summary!$B$5+IF(D309=1,0,IF(C309=1,Summary!$B$6,NA()))+(MATCH(1,E309:L309,0)-1)*Summary!$B$7+(MATCH(1,M309:T309,0)-1)*Summary!$B$8+(MATCH(1,U309:AB309,0)-1)*Summary!$B$9</f>
        <v>68.25</v>
      </c>
      <c r="C309" s="32" t="n">
        <v>0</v>
      </c>
      <c r="D309" s="32" t="n">
        <v>1</v>
      </c>
      <c r="E309" s="32" t="n">
        <v>0</v>
      </c>
      <c r="F309" s="32" t="n">
        <v>0</v>
      </c>
      <c r="G309" s="32" t="n">
        <v>0</v>
      </c>
      <c r="H309" s="32" t="n">
        <v>0</v>
      </c>
      <c r="I309" s="32" t="n">
        <v>1</v>
      </c>
      <c r="J309" s="32" t="n">
        <v>0</v>
      </c>
      <c r="K309" s="32" t="n">
        <v>0</v>
      </c>
      <c r="L309" s="32" t="n">
        <v>0</v>
      </c>
      <c r="M309" s="32" t="n">
        <v>0</v>
      </c>
      <c r="N309" s="32" t="n">
        <v>0</v>
      </c>
      <c r="O309" s="32" t="n">
        <v>0</v>
      </c>
      <c r="P309" s="32" t="n">
        <v>0</v>
      </c>
      <c r="Q309" s="32" t="n">
        <v>0</v>
      </c>
      <c r="R309" s="32" t="n">
        <v>0</v>
      </c>
      <c r="S309" s="32" t="n">
        <v>1</v>
      </c>
      <c r="T309" s="32" t="n">
        <v>0</v>
      </c>
      <c r="U309" s="32" t="n">
        <v>0</v>
      </c>
      <c r="V309" s="32" t="n">
        <v>0</v>
      </c>
      <c r="W309" s="32" t="n">
        <v>1</v>
      </c>
      <c r="X309" s="32" t="n">
        <v>0</v>
      </c>
      <c r="Y309" s="32" t="n">
        <v>0</v>
      </c>
      <c r="Z309" s="32" t="n">
        <v>0</v>
      </c>
      <c r="AA309" s="32" t="n">
        <v>0</v>
      </c>
      <c r="AB309" s="32" t="n">
        <v>0</v>
      </c>
      <c r="AC309" s="30" t="s">
        <v>410</v>
      </c>
      <c r="AD309" s="37" t="n">
        <f aca="false">B309-B308</f>
        <v>0.125</v>
      </c>
    </row>
    <row r="310" customFormat="false" ht="15" hidden="false" customHeight="false" outlineLevel="0" collapsed="false">
      <c r="A310" s="33" t="n">
        <v>307</v>
      </c>
      <c r="B310" s="34" t="n">
        <f aca="false">Summary!$B$5+IF(D310=1,0,IF(C310=1,Summary!$B$6,NA()))+(MATCH(1,E310:L310,0)-1)*Summary!$B$7+(MATCH(1,M310:T310,0)-1)*Summary!$B$8+(MATCH(1,U310:AB310,0)-1)*Summary!$B$9</f>
        <v>68.375</v>
      </c>
      <c r="C310" s="35" t="n">
        <v>0</v>
      </c>
      <c r="D310" s="35" t="n">
        <v>1</v>
      </c>
      <c r="E310" s="35" t="n">
        <v>0</v>
      </c>
      <c r="F310" s="35" t="n">
        <v>0</v>
      </c>
      <c r="G310" s="35" t="n">
        <v>0</v>
      </c>
      <c r="H310" s="35" t="n">
        <v>0</v>
      </c>
      <c r="I310" s="35" t="n">
        <v>1</v>
      </c>
      <c r="J310" s="35" t="n">
        <v>0</v>
      </c>
      <c r="K310" s="35" t="n">
        <v>0</v>
      </c>
      <c r="L310" s="35" t="n">
        <v>0</v>
      </c>
      <c r="M310" s="35" t="n">
        <v>0</v>
      </c>
      <c r="N310" s="35" t="n">
        <v>0</v>
      </c>
      <c r="O310" s="35" t="n">
        <v>0</v>
      </c>
      <c r="P310" s="35" t="n">
        <v>0</v>
      </c>
      <c r="Q310" s="35" t="n">
        <v>0</v>
      </c>
      <c r="R310" s="35" t="n">
        <v>0</v>
      </c>
      <c r="S310" s="35" t="n">
        <v>1</v>
      </c>
      <c r="T310" s="35" t="n">
        <v>0</v>
      </c>
      <c r="U310" s="35" t="n">
        <v>0</v>
      </c>
      <c r="V310" s="35" t="n">
        <v>0</v>
      </c>
      <c r="W310" s="35" t="n">
        <v>0</v>
      </c>
      <c r="X310" s="35" t="n">
        <v>1</v>
      </c>
      <c r="Y310" s="35" t="n">
        <v>0</v>
      </c>
      <c r="Z310" s="35" t="n">
        <v>0</v>
      </c>
      <c r="AA310" s="35" t="n">
        <v>0</v>
      </c>
      <c r="AB310" s="35" t="n">
        <v>0</v>
      </c>
      <c r="AC310" s="33" t="s">
        <v>411</v>
      </c>
      <c r="AD310" s="36" t="n">
        <f aca="false">B310-B309</f>
        <v>0.125</v>
      </c>
    </row>
    <row r="311" customFormat="false" ht="15" hidden="false" customHeight="false" outlineLevel="0" collapsed="false">
      <c r="A311" s="30" t="n">
        <v>308</v>
      </c>
      <c r="B311" s="31" t="n">
        <f aca="false">Summary!$B$5+IF(D311=1,0,IF(C311=1,Summary!$B$6,NA()))+(MATCH(1,E311:L311,0)-1)*Summary!$B$7+(MATCH(1,M311:T311,0)-1)*Summary!$B$8+(MATCH(1,U311:AB311,0)-1)*Summary!$B$9</f>
        <v>68.5</v>
      </c>
      <c r="C311" s="32" t="n">
        <v>0</v>
      </c>
      <c r="D311" s="32" t="n">
        <v>1</v>
      </c>
      <c r="E311" s="32" t="n">
        <v>0</v>
      </c>
      <c r="F311" s="32" t="n">
        <v>0</v>
      </c>
      <c r="G311" s="32" t="n">
        <v>0</v>
      </c>
      <c r="H311" s="32" t="n">
        <v>0</v>
      </c>
      <c r="I311" s="32" t="n">
        <v>1</v>
      </c>
      <c r="J311" s="32" t="n">
        <v>0</v>
      </c>
      <c r="K311" s="32" t="n">
        <v>0</v>
      </c>
      <c r="L311" s="32" t="n">
        <v>0</v>
      </c>
      <c r="M311" s="32" t="n">
        <v>0</v>
      </c>
      <c r="N311" s="32" t="n">
        <v>0</v>
      </c>
      <c r="O311" s="32" t="n">
        <v>0</v>
      </c>
      <c r="P311" s="32" t="n">
        <v>0</v>
      </c>
      <c r="Q311" s="32" t="n">
        <v>0</v>
      </c>
      <c r="R311" s="32" t="n">
        <v>0</v>
      </c>
      <c r="S311" s="32" t="n">
        <v>1</v>
      </c>
      <c r="T311" s="32" t="n">
        <v>0</v>
      </c>
      <c r="U311" s="32" t="n">
        <v>0</v>
      </c>
      <c r="V311" s="32" t="n">
        <v>0</v>
      </c>
      <c r="W311" s="32" t="n">
        <v>0</v>
      </c>
      <c r="X311" s="32" t="n">
        <v>0</v>
      </c>
      <c r="Y311" s="32" t="n">
        <v>1</v>
      </c>
      <c r="Z311" s="32" t="n">
        <v>0</v>
      </c>
      <c r="AA311" s="32" t="n">
        <v>0</v>
      </c>
      <c r="AB311" s="32" t="n">
        <v>0</v>
      </c>
      <c r="AC311" s="30" t="s">
        <v>412</v>
      </c>
      <c r="AD311" s="37" t="n">
        <f aca="false">B311-B310</f>
        <v>0.125</v>
      </c>
    </row>
    <row r="312" customFormat="false" ht="15" hidden="false" customHeight="false" outlineLevel="0" collapsed="false">
      <c r="A312" s="33" t="n">
        <v>309</v>
      </c>
      <c r="B312" s="34" t="n">
        <f aca="false">Summary!$B$5+IF(D312=1,0,IF(C312=1,Summary!$B$6,NA()))+(MATCH(1,E312:L312,0)-1)*Summary!$B$7+(MATCH(1,M312:T312,0)-1)*Summary!$B$8+(MATCH(1,U312:AB312,0)-1)*Summary!$B$9</f>
        <v>68.625</v>
      </c>
      <c r="C312" s="35" t="n">
        <v>0</v>
      </c>
      <c r="D312" s="35" t="n">
        <v>1</v>
      </c>
      <c r="E312" s="35" t="n">
        <v>0</v>
      </c>
      <c r="F312" s="35" t="n">
        <v>0</v>
      </c>
      <c r="G312" s="35" t="n">
        <v>0</v>
      </c>
      <c r="H312" s="35" t="n">
        <v>0</v>
      </c>
      <c r="I312" s="35" t="n">
        <v>1</v>
      </c>
      <c r="J312" s="35" t="n">
        <v>0</v>
      </c>
      <c r="K312" s="35" t="n">
        <v>0</v>
      </c>
      <c r="L312" s="35" t="n">
        <v>0</v>
      </c>
      <c r="M312" s="35" t="n">
        <v>0</v>
      </c>
      <c r="N312" s="35" t="n">
        <v>0</v>
      </c>
      <c r="O312" s="35" t="n">
        <v>0</v>
      </c>
      <c r="P312" s="35" t="n">
        <v>0</v>
      </c>
      <c r="Q312" s="35" t="n">
        <v>0</v>
      </c>
      <c r="R312" s="35" t="n">
        <v>0</v>
      </c>
      <c r="S312" s="35" t="n">
        <v>1</v>
      </c>
      <c r="T312" s="35" t="n">
        <v>0</v>
      </c>
      <c r="U312" s="35" t="n">
        <v>0</v>
      </c>
      <c r="V312" s="35" t="n">
        <v>0</v>
      </c>
      <c r="W312" s="35" t="n">
        <v>0</v>
      </c>
      <c r="X312" s="35" t="n">
        <v>0</v>
      </c>
      <c r="Y312" s="35" t="n">
        <v>0</v>
      </c>
      <c r="Z312" s="35" t="n">
        <v>1</v>
      </c>
      <c r="AA312" s="35" t="n">
        <v>0</v>
      </c>
      <c r="AB312" s="35" t="n">
        <v>0</v>
      </c>
      <c r="AC312" s="33" t="s">
        <v>413</v>
      </c>
      <c r="AD312" s="36" t="n">
        <f aca="false">B312-B311</f>
        <v>0.125</v>
      </c>
    </row>
    <row r="313" customFormat="false" ht="15" hidden="false" customHeight="false" outlineLevel="0" collapsed="false">
      <c r="A313" s="30" t="n">
        <v>310</v>
      </c>
      <c r="B313" s="31" t="n">
        <f aca="false">Summary!$B$5+IF(D313=1,0,IF(C313=1,Summary!$B$6,NA()))+(MATCH(1,E313:L313,0)-1)*Summary!$B$7+(MATCH(1,M313:T313,0)-1)*Summary!$B$8+(MATCH(1,U313:AB313,0)-1)*Summary!$B$9</f>
        <v>68.75</v>
      </c>
      <c r="C313" s="32" t="n">
        <v>0</v>
      </c>
      <c r="D313" s="32" t="n">
        <v>1</v>
      </c>
      <c r="E313" s="32" t="n">
        <v>0</v>
      </c>
      <c r="F313" s="32" t="n">
        <v>0</v>
      </c>
      <c r="G313" s="32" t="n">
        <v>0</v>
      </c>
      <c r="H313" s="32" t="n">
        <v>0</v>
      </c>
      <c r="I313" s="32" t="n">
        <v>1</v>
      </c>
      <c r="J313" s="32" t="n">
        <v>0</v>
      </c>
      <c r="K313" s="32" t="n">
        <v>0</v>
      </c>
      <c r="L313" s="32" t="n">
        <v>0</v>
      </c>
      <c r="M313" s="32" t="n">
        <v>0</v>
      </c>
      <c r="N313" s="32" t="n">
        <v>0</v>
      </c>
      <c r="O313" s="32" t="n">
        <v>0</v>
      </c>
      <c r="P313" s="32" t="n">
        <v>0</v>
      </c>
      <c r="Q313" s="32" t="n">
        <v>0</v>
      </c>
      <c r="R313" s="32" t="n">
        <v>0</v>
      </c>
      <c r="S313" s="32" t="n">
        <v>1</v>
      </c>
      <c r="T313" s="32" t="n">
        <v>0</v>
      </c>
      <c r="U313" s="32" t="n">
        <v>0</v>
      </c>
      <c r="V313" s="32" t="n">
        <v>0</v>
      </c>
      <c r="W313" s="32" t="n">
        <v>0</v>
      </c>
      <c r="X313" s="32" t="n">
        <v>0</v>
      </c>
      <c r="Y313" s="32" t="n">
        <v>0</v>
      </c>
      <c r="Z313" s="32" t="n">
        <v>0</v>
      </c>
      <c r="AA313" s="32" t="n">
        <v>1</v>
      </c>
      <c r="AB313" s="32" t="n">
        <v>0</v>
      </c>
      <c r="AC313" s="30" t="s">
        <v>414</v>
      </c>
      <c r="AD313" s="37" t="n">
        <f aca="false">B313-B312</f>
        <v>0.125</v>
      </c>
    </row>
    <row r="314" customFormat="false" ht="15" hidden="false" customHeight="false" outlineLevel="0" collapsed="false">
      <c r="A314" s="33" t="n">
        <v>311</v>
      </c>
      <c r="B314" s="34" t="n">
        <f aca="false">Summary!$B$5+IF(D314=1,0,IF(C314=1,Summary!$B$6,NA()))+(MATCH(1,E314:L314,0)-1)*Summary!$B$7+(MATCH(1,M314:T314,0)-1)*Summary!$B$8+(MATCH(1,U314:AB314,0)-1)*Summary!$B$9</f>
        <v>68.875</v>
      </c>
      <c r="C314" s="35" t="n">
        <v>0</v>
      </c>
      <c r="D314" s="35" t="n">
        <v>1</v>
      </c>
      <c r="E314" s="35" t="n">
        <v>0</v>
      </c>
      <c r="F314" s="35" t="n">
        <v>0</v>
      </c>
      <c r="G314" s="35" t="n">
        <v>0</v>
      </c>
      <c r="H314" s="35" t="n">
        <v>0</v>
      </c>
      <c r="I314" s="35" t="n">
        <v>1</v>
      </c>
      <c r="J314" s="35" t="n">
        <v>0</v>
      </c>
      <c r="K314" s="35" t="n">
        <v>0</v>
      </c>
      <c r="L314" s="35" t="n">
        <v>0</v>
      </c>
      <c r="M314" s="35" t="n">
        <v>0</v>
      </c>
      <c r="N314" s="35" t="n">
        <v>0</v>
      </c>
      <c r="O314" s="35" t="n">
        <v>0</v>
      </c>
      <c r="P314" s="35" t="n">
        <v>0</v>
      </c>
      <c r="Q314" s="35" t="n">
        <v>0</v>
      </c>
      <c r="R314" s="35" t="n">
        <v>0</v>
      </c>
      <c r="S314" s="35" t="n">
        <v>1</v>
      </c>
      <c r="T314" s="35" t="n">
        <v>0</v>
      </c>
      <c r="U314" s="35" t="n">
        <v>0</v>
      </c>
      <c r="V314" s="35" t="n">
        <v>0</v>
      </c>
      <c r="W314" s="35" t="n">
        <v>0</v>
      </c>
      <c r="X314" s="35" t="n">
        <v>0</v>
      </c>
      <c r="Y314" s="35" t="n">
        <v>0</v>
      </c>
      <c r="Z314" s="35" t="n">
        <v>0</v>
      </c>
      <c r="AA314" s="35" t="n">
        <v>0</v>
      </c>
      <c r="AB314" s="35" t="n">
        <v>1</v>
      </c>
      <c r="AC314" s="33" t="s">
        <v>415</v>
      </c>
      <c r="AD314" s="36" t="n">
        <f aca="false">B314-B313</f>
        <v>0.125</v>
      </c>
    </row>
    <row r="315" customFormat="false" ht="15" hidden="false" customHeight="false" outlineLevel="0" collapsed="false">
      <c r="A315" s="30" t="n">
        <v>312</v>
      </c>
      <c r="B315" s="31" t="n">
        <f aca="false">Summary!$B$5+IF(D315=1,0,IF(C315=1,Summary!$B$6,NA()))+(MATCH(1,E315:L315,0)-1)*Summary!$B$7+(MATCH(1,M315:T315,0)-1)*Summary!$B$8+(MATCH(1,U315:AB315,0)-1)*Summary!$B$9</f>
        <v>69</v>
      </c>
      <c r="C315" s="32" t="n">
        <v>0</v>
      </c>
      <c r="D315" s="32" t="n">
        <v>1</v>
      </c>
      <c r="E315" s="32" t="n">
        <v>0</v>
      </c>
      <c r="F315" s="32" t="n">
        <v>0</v>
      </c>
      <c r="G315" s="32" t="n">
        <v>0</v>
      </c>
      <c r="H315" s="32" t="n">
        <v>0</v>
      </c>
      <c r="I315" s="32" t="n">
        <v>1</v>
      </c>
      <c r="J315" s="32" t="n">
        <v>0</v>
      </c>
      <c r="K315" s="32" t="n">
        <v>0</v>
      </c>
      <c r="L315" s="32" t="n">
        <v>0</v>
      </c>
      <c r="M315" s="32" t="n">
        <v>0</v>
      </c>
      <c r="N315" s="32" t="n">
        <v>0</v>
      </c>
      <c r="O315" s="32" t="n">
        <v>0</v>
      </c>
      <c r="P315" s="32" t="n">
        <v>0</v>
      </c>
      <c r="Q315" s="32" t="n">
        <v>0</v>
      </c>
      <c r="R315" s="32" t="n">
        <v>0</v>
      </c>
      <c r="S315" s="32" t="n">
        <v>0</v>
      </c>
      <c r="T315" s="32" t="n">
        <v>1</v>
      </c>
      <c r="U315" s="32" t="n">
        <v>1</v>
      </c>
      <c r="V315" s="32" t="n">
        <v>0</v>
      </c>
      <c r="W315" s="32" t="n">
        <v>0</v>
      </c>
      <c r="X315" s="32" t="n">
        <v>0</v>
      </c>
      <c r="Y315" s="32" t="n">
        <v>0</v>
      </c>
      <c r="Z315" s="32" t="n">
        <v>0</v>
      </c>
      <c r="AA315" s="32" t="n">
        <v>0</v>
      </c>
      <c r="AB315" s="32" t="n">
        <v>0</v>
      </c>
      <c r="AC315" s="30" t="s">
        <v>416</v>
      </c>
      <c r="AD315" s="37" t="n">
        <f aca="false">B315-B314</f>
        <v>0.125</v>
      </c>
    </row>
    <row r="316" customFormat="false" ht="15" hidden="false" customHeight="false" outlineLevel="0" collapsed="false">
      <c r="A316" s="33" t="n">
        <v>313</v>
      </c>
      <c r="B316" s="34" t="n">
        <f aca="false">Summary!$B$5+IF(D316=1,0,IF(C316=1,Summary!$B$6,NA()))+(MATCH(1,E316:L316,0)-1)*Summary!$B$7+(MATCH(1,M316:T316,0)-1)*Summary!$B$8+(MATCH(1,U316:AB316,0)-1)*Summary!$B$9</f>
        <v>69.125</v>
      </c>
      <c r="C316" s="35" t="n">
        <v>0</v>
      </c>
      <c r="D316" s="35" t="n">
        <v>1</v>
      </c>
      <c r="E316" s="35" t="n">
        <v>0</v>
      </c>
      <c r="F316" s="35" t="n">
        <v>0</v>
      </c>
      <c r="G316" s="35" t="n">
        <v>0</v>
      </c>
      <c r="H316" s="35" t="n">
        <v>0</v>
      </c>
      <c r="I316" s="35" t="n">
        <v>1</v>
      </c>
      <c r="J316" s="35" t="n">
        <v>0</v>
      </c>
      <c r="K316" s="35" t="n">
        <v>0</v>
      </c>
      <c r="L316" s="35" t="n">
        <v>0</v>
      </c>
      <c r="M316" s="35" t="n">
        <v>0</v>
      </c>
      <c r="N316" s="35" t="n">
        <v>0</v>
      </c>
      <c r="O316" s="35" t="n">
        <v>0</v>
      </c>
      <c r="P316" s="35" t="n">
        <v>0</v>
      </c>
      <c r="Q316" s="35" t="n">
        <v>0</v>
      </c>
      <c r="R316" s="35" t="n">
        <v>0</v>
      </c>
      <c r="S316" s="35" t="n">
        <v>0</v>
      </c>
      <c r="T316" s="35" t="n">
        <v>1</v>
      </c>
      <c r="U316" s="35" t="n">
        <v>0</v>
      </c>
      <c r="V316" s="35" t="n">
        <v>1</v>
      </c>
      <c r="W316" s="35" t="n">
        <v>0</v>
      </c>
      <c r="X316" s="35" t="n">
        <v>0</v>
      </c>
      <c r="Y316" s="35" t="n">
        <v>0</v>
      </c>
      <c r="Z316" s="35" t="n">
        <v>0</v>
      </c>
      <c r="AA316" s="35" t="n">
        <v>0</v>
      </c>
      <c r="AB316" s="35" t="n">
        <v>0</v>
      </c>
      <c r="AC316" s="33" t="s">
        <v>417</v>
      </c>
      <c r="AD316" s="36" t="n">
        <f aca="false">B316-B315</f>
        <v>0.125</v>
      </c>
    </row>
    <row r="317" customFormat="false" ht="15" hidden="false" customHeight="false" outlineLevel="0" collapsed="false">
      <c r="A317" s="30" t="n">
        <v>314</v>
      </c>
      <c r="B317" s="31" t="n">
        <f aca="false">Summary!$B$5+IF(D317=1,0,IF(C317=1,Summary!$B$6,NA()))+(MATCH(1,E317:L317,0)-1)*Summary!$B$7+(MATCH(1,M317:T317,0)-1)*Summary!$B$8+(MATCH(1,U317:AB317,0)-1)*Summary!$B$9</f>
        <v>69.25</v>
      </c>
      <c r="C317" s="32" t="n">
        <v>0</v>
      </c>
      <c r="D317" s="32" t="n">
        <v>1</v>
      </c>
      <c r="E317" s="32" t="n">
        <v>0</v>
      </c>
      <c r="F317" s="32" t="n">
        <v>0</v>
      </c>
      <c r="G317" s="32" t="n">
        <v>0</v>
      </c>
      <c r="H317" s="32" t="n">
        <v>0</v>
      </c>
      <c r="I317" s="32" t="n">
        <v>1</v>
      </c>
      <c r="J317" s="32" t="n">
        <v>0</v>
      </c>
      <c r="K317" s="32" t="n">
        <v>0</v>
      </c>
      <c r="L317" s="32" t="n">
        <v>0</v>
      </c>
      <c r="M317" s="32" t="n">
        <v>0</v>
      </c>
      <c r="N317" s="32" t="n">
        <v>0</v>
      </c>
      <c r="O317" s="32" t="n">
        <v>0</v>
      </c>
      <c r="P317" s="32" t="n">
        <v>0</v>
      </c>
      <c r="Q317" s="32" t="n">
        <v>0</v>
      </c>
      <c r="R317" s="32" t="n">
        <v>0</v>
      </c>
      <c r="S317" s="32" t="n">
        <v>0</v>
      </c>
      <c r="T317" s="32" t="n">
        <v>1</v>
      </c>
      <c r="U317" s="32" t="n">
        <v>0</v>
      </c>
      <c r="V317" s="32" t="n">
        <v>0</v>
      </c>
      <c r="W317" s="32" t="n">
        <v>1</v>
      </c>
      <c r="X317" s="32" t="n">
        <v>0</v>
      </c>
      <c r="Y317" s="32" t="n">
        <v>0</v>
      </c>
      <c r="Z317" s="32" t="n">
        <v>0</v>
      </c>
      <c r="AA317" s="32" t="n">
        <v>0</v>
      </c>
      <c r="AB317" s="32" t="n">
        <v>0</v>
      </c>
      <c r="AC317" s="30" t="s">
        <v>418</v>
      </c>
      <c r="AD317" s="37" t="n">
        <f aca="false">B317-B316</f>
        <v>0.125</v>
      </c>
    </row>
    <row r="318" customFormat="false" ht="15" hidden="false" customHeight="false" outlineLevel="0" collapsed="false">
      <c r="A318" s="33" t="n">
        <v>315</v>
      </c>
      <c r="B318" s="34" t="n">
        <f aca="false">Summary!$B$5+IF(D318=1,0,IF(C318=1,Summary!$B$6,NA()))+(MATCH(1,E318:L318,0)-1)*Summary!$B$7+(MATCH(1,M318:T318,0)-1)*Summary!$B$8+(MATCH(1,U318:AB318,0)-1)*Summary!$B$9</f>
        <v>69.375</v>
      </c>
      <c r="C318" s="35" t="n">
        <v>0</v>
      </c>
      <c r="D318" s="35" t="n">
        <v>1</v>
      </c>
      <c r="E318" s="35" t="n">
        <v>0</v>
      </c>
      <c r="F318" s="35" t="n">
        <v>0</v>
      </c>
      <c r="G318" s="35" t="n">
        <v>0</v>
      </c>
      <c r="H318" s="35" t="n">
        <v>0</v>
      </c>
      <c r="I318" s="35" t="n">
        <v>1</v>
      </c>
      <c r="J318" s="35" t="n">
        <v>0</v>
      </c>
      <c r="K318" s="35" t="n">
        <v>0</v>
      </c>
      <c r="L318" s="35" t="n">
        <v>0</v>
      </c>
      <c r="M318" s="35" t="n">
        <v>0</v>
      </c>
      <c r="N318" s="35" t="n">
        <v>0</v>
      </c>
      <c r="O318" s="35" t="n">
        <v>0</v>
      </c>
      <c r="P318" s="35" t="n">
        <v>0</v>
      </c>
      <c r="Q318" s="35" t="n">
        <v>0</v>
      </c>
      <c r="R318" s="35" t="n">
        <v>0</v>
      </c>
      <c r="S318" s="35" t="n">
        <v>0</v>
      </c>
      <c r="T318" s="35" t="n">
        <v>1</v>
      </c>
      <c r="U318" s="35" t="n">
        <v>0</v>
      </c>
      <c r="V318" s="35" t="n">
        <v>0</v>
      </c>
      <c r="W318" s="35" t="n">
        <v>0</v>
      </c>
      <c r="X318" s="35" t="n">
        <v>1</v>
      </c>
      <c r="Y318" s="35" t="n">
        <v>0</v>
      </c>
      <c r="Z318" s="35" t="n">
        <v>0</v>
      </c>
      <c r="AA318" s="35" t="n">
        <v>0</v>
      </c>
      <c r="AB318" s="35" t="n">
        <v>0</v>
      </c>
      <c r="AC318" s="33" t="s">
        <v>419</v>
      </c>
      <c r="AD318" s="36" t="n">
        <f aca="false">B318-B317</f>
        <v>0.125</v>
      </c>
    </row>
    <row r="319" customFormat="false" ht="15" hidden="false" customHeight="false" outlineLevel="0" collapsed="false">
      <c r="A319" s="30" t="n">
        <v>316</v>
      </c>
      <c r="B319" s="31" t="n">
        <f aca="false">Summary!$B$5+IF(D319=1,0,IF(C319=1,Summary!$B$6,NA()))+(MATCH(1,E319:L319,0)-1)*Summary!$B$7+(MATCH(1,M319:T319,0)-1)*Summary!$B$8+(MATCH(1,U319:AB319,0)-1)*Summary!$B$9</f>
        <v>69.5</v>
      </c>
      <c r="C319" s="32" t="n">
        <v>0</v>
      </c>
      <c r="D319" s="32" t="n">
        <v>1</v>
      </c>
      <c r="E319" s="32" t="n">
        <v>0</v>
      </c>
      <c r="F319" s="32" t="n">
        <v>0</v>
      </c>
      <c r="G319" s="32" t="n">
        <v>0</v>
      </c>
      <c r="H319" s="32" t="n">
        <v>0</v>
      </c>
      <c r="I319" s="32" t="n">
        <v>1</v>
      </c>
      <c r="J319" s="32" t="n">
        <v>0</v>
      </c>
      <c r="K319" s="32" t="n">
        <v>0</v>
      </c>
      <c r="L319" s="32" t="n">
        <v>0</v>
      </c>
      <c r="M319" s="32" t="n">
        <v>0</v>
      </c>
      <c r="N319" s="32" t="n">
        <v>0</v>
      </c>
      <c r="O319" s="32" t="n">
        <v>0</v>
      </c>
      <c r="P319" s="32" t="n">
        <v>0</v>
      </c>
      <c r="Q319" s="32" t="n">
        <v>0</v>
      </c>
      <c r="R319" s="32" t="n">
        <v>0</v>
      </c>
      <c r="S319" s="32" t="n">
        <v>0</v>
      </c>
      <c r="T319" s="32" t="n">
        <v>1</v>
      </c>
      <c r="U319" s="32" t="n">
        <v>0</v>
      </c>
      <c r="V319" s="32" t="n">
        <v>0</v>
      </c>
      <c r="W319" s="32" t="n">
        <v>0</v>
      </c>
      <c r="X319" s="32" t="n">
        <v>0</v>
      </c>
      <c r="Y319" s="32" t="n">
        <v>1</v>
      </c>
      <c r="Z319" s="32" t="n">
        <v>0</v>
      </c>
      <c r="AA319" s="32" t="n">
        <v>0</v>
      </c>
      <c r="AB319" s="32" t="n">
        <v>0</v>
      </c>
      <c r="AC319" s="30" t="s">
        <v>420</v>
      </c>
      <c r="AD319" s="37" t="n">
        <f aca="false">B319-B318</f>
        <v>0.125</v>
      </c>
    </row>
    <row r="320" customFormat="false" ht="15" hidden="false" customHeight="false" outlineLevel="0" collapsed="false">
      <c r="A320" s="33" t="n">
        <v>317</v>
      </c>
      <c r="B320" s="34" t="n">
        <f aca="false">Summary!$B$5+IF(D320=1,0,IF(C320=1,Summary!$B$6,NA()))+(MATCH(1,E320:L320,0)-1)*Summary!$B$7+(MATCH(1,M320:T320,0)-1)*Summary!$B$8+(MATCH(1,U320:AB320,0)-1)*Summary!$B$9</f>
        <v>69.625</v>
      </c>
      <c r="C320" s="35" t="n">
        <v>0</v>
      </c>
      <c r="D320" s="35" t="n">
        <v>1</v>
      </c>
      <c r="E320" s="35" t="n">
        <v>0</v>
      </c>
      <c r="F320" s="35" t="n">
        <v>0</v>
      </c>
      <c r="G320" s="35" t="n">
        <v>0</v>
      </c>
      <c r="H320" s="35" t="n">
        <v>0</v>
      </c>
      <c r="I320" s="35" t="n">
        <v>1</v>
      </c>
      <c r="J320" s="35" t="n">
        <v>0</v>
      </c>
      <c r="K320" s="35" t="n">
        <v>0</v>
      </c>
      <c r="L320" s="35" t="n">
        <v>0</v>
      </c>
      <c r="M320" s="35" t="n">
        <v>0</v>
      </c>
      <c r="N320" s="35" t="n">
        <v>0</v>
      </c>
      <c r="O320" s="35" t="n">
        <v>0</v>
      </c>
      <c r="P320" s="35" t="n">
        <v>0</v>
      </c>
      <c r="Q320" s="35" t="n">
        <v>0</v>
      </c>
      <c r="R320" s="35" t="n">
        <v>0</v>
      </c>
      <c r="S320" s="35" t="n">
        <v>0</v>
      </c>
      <c r="T320" s="35" t="n">
        <v>1</v>
      </c>
      <c r="U320" s="35" t="n">
        <v>0</v>
      </c>
      <c r="V320" s="35" t="n">
        <v>0</v>
      </c>
      <c r="W320" s="35" t="n">
        <v>0</v>
      </c>
      <c r="X320" s="35" t="n">
        <v>0</v>
      </c>
      <c r="Y320" s="35" t="n">
        <v>0</v>
      </c>
      <c r="Z320" s="35" t="n">
        <v>1</v>
      </c>
      <c r="AA320" s="35" t="n">
        <v>0</v>
      </c>
      <c r="AB320" s="35" t="n">
        <v>0</v>
      </c>
      <c r="AC320" s="33" t="s">
        <v>421</v>
      </c>
      <c r="AD320" s="36" t="n">
        <f aca="false">B320-B319</f>
        <v>0.125</v>
      </c>
    </row>
    <row r="321" customFormat="false" ht="15" hidden="false" customHeight="false" outlineLevel="0" collapsed="false">
      <c r="A321" s="30" t="n">
        <v>318</v>
      </c>
      <c r="B321" s="31" t="n">
        <f aca="false">Summary!$B$5+IF(D321=1,0,IF(C321=1,Summary!$B$6,NA()))+(MATCH(1,E321:L321,0)-1)*Summary!$B$7+(MATCH(1,M321:T321,0)-1)*Summary!$B$8+(MATCH(1,U321:AB321,0)-1)*Summary!$B$9</f>
        <v>69.75</v>
      </c>
      <c r="C321" s="32" t="n">
        <v>0</v>
      </c>
      <c r="D321" s="32" t="n">
        <v>1</v>
      </c>
      <c r="E321" s="32" t="n">
        <v>0</v>
      </c>
      <c r="F321" s="32" t="n">
        <v>0</v>
      </c>
      <c r="G321" s="32" t="n">
        <v>0</v>
      </c>
      <c r="H321" s="32" t="n">
        <v>0</v>
      </c>
      <c r="I321" s="32" t="n">
        <v>1</v>
      </c>
      <c r="J321" s="32" t="n">
        <v>0</v>
      </c>
      <c r="K321" s="32" t="n">
        <v>0</v>
      </c>
      <c r="L321" s="32" t="n">
        <v>0</v>
      </c>
      <c r="M321" s="32" t="n">
        <v>0</v>
      </c>
      <c r="N321" s="32" t="n">
        <v>0</v>
      </c>
      <c r="O321" s="32" t="n">
        <v>0</v>
      </c>
      <c r="P321" s="32" t="n">
        <v>0</v>
      </c>
      <c r="Q321" s="32" t="n">
        <v>0</v>
      </c>
      <c r="R321" s="32" t="n">
        <v>0</v>
      </c>
      <c r="S321" s="32" t="n">
        <v>0</v>
      </c>
      <c r="T321" s="32" t="n">
        <v>1</v>
      </c>
      <c r="U321" s="32" t="n">
        <v>0</v>
      </c>
      <c r="V321" s="32" t="n">
        <v>0</v>
      </c>
      <c r="W321" s="32" t="n">
        <v>0</v>
      </c>
      <c r="X321" s="32" t="n">
        <v>0</v>
      </c>
      <c r="Y321" s="32" t="n">
        <v>0</v>
      </c>
      <c r="Z321" s="32" t="n">
        <v>0</v>
      </c>
      <c r="AA321" s="32" t="n">
        <v>1</v>
      </c>
      <c r="AB321" s="32" t="n">
        <v>0</v>
      </c>
      <c r="AC321" s="30" t="s">
        <v>422</v>
      </c>
      <c r="AD321" s="37" t="n">
        <f aca="false">B321-B320</f>
        <v>0.125</v>
      </c>
    </row>
    <row r="322" customFormat="false" ht="15" hidden="false" customHeight="false" outlineLevel="0" collapsed="false">
      <c r="A322" s="33" t="n">
        <v>319</v>
      </c>
      <c r="B322" s="34" t="n">
        <f aca="false">Summary!$B$5+IF(D322=1,0,IF(C322=1,Summary!$B$6,NA()))+(MATCH(1,E322:L322,0)-1)*Summary!$B$7+(MATCH(1,M322:T322,0)-1)*Summary!$B$8+(MATCH(1,U322:AB322,0)-1)*Summary!$B$9</f>
        <v>69.875</v>
      </c>
      <c r="C322" s="35" t="n">
        <v>0</v>
      </c>
      <c r="D322" s="35" t="n">
        <v>1</v>
      </c>
      <c r="E322" s="35" t="n">
        <v>0</v>
      </c>
      <c r="F322" s="35" t="n">
        <v>0</v>
      </c>
      <c r="G322" s="35" t="n">
        <v>0</v>
      </c>
      <c r="H322" s="35" t="n">
        <v>0</v>
      </c>
      <c r="I322" s="35" t="n">
        <v>1</v>
      </c>
      <c r="J322" s="35" t="n">
        <v>0</v>
      </c>
      <c r="K322" s="35" t="n">
        <v>0</v>
      </c>
      <c r="L322" s="35" t="n">
        <v>0</v>
      </c>
      <c r="M322" s="35" t="n">
        <v>0</v>
      </c>
      <c r="N322" s="35" t="n">
        <v>0</v>
      </c>
      <c r="O322" s="35" t="n">
        <v>0</v>
      </c>
      <c r="P322" s="35" t="n">
        <v>0</v>
      </c>
      <c r="Q322" s="35" t="n">
        <v>0</v>
      </c>
      <c r="R322" s="35" t="n">
        <v>0</v>
      </c>
      <c r="S322" s="35" t="n">
        <v>0</v>
      </c>
      <c r="T322" s="35" t="n">
        <v>1</v>
      </c>
      <c r="U322" s="35" t="n">
        <v>0</v>
      </c>
      <c r="V322" s="35" t="n">
        <v>0</v>
      </c>
      <c r="W322" s="35" t="n">
        <v>0</v>
      </c>
      <c r="X322" s="35" t="n">
        <v>0</v>
      </c>
      <c r="Y322" s="35" t="n">
        <v>0</v>
      </c>
      <c r="Z322" s="35" t="n">
        <v>0</v>
      </c>
      <c r="AA322" s="35" t="n">
        <v>0</v>
      </c>
      <c r="AB322" s="35" t="n">
        <v>1</v>
      </c>
      <c r="AC322" s="33" t="s">
        <v>423</v>
      </c>
      <c r="AD322" s="36" t="n">
        <f aca="false">B322-B321</f>
        <v>0.125</v>
      </c>
    </row>
    <row r="323" customFormat="false" ht="15" hidden="false" customHeight="false" outlineLevel="0" collapsed="false">
      <c r="A323" s="30" t="n">
        <v>320</v>
      </c>
      <c r="B323" s="31" t="n">
        <f aca="false">Summary!$B$5+IF(D323=1,0,IF(C323=1,Summary!$B$6,NA()))+(MATCH(1,E323:L323,0)-1)*Summary!$B$7+(MATCH(1,M323:T323,0)-1)*Summary!$B$8+(MATCH(1,U323:AB323,0)-1)*Summary!$B$9</f>
        <v>70</v>
      </c>
      <c r="C323" s="32" t="n">
        <v>0</v>
      </c>
      <c r="D323" s="32" t="n">
        <v>1</v>
      </c>
      <c r="E323" s="32" t="n">
        <v>0</v>
      </c>
      <c r="F323" s="32" t="n">
        <v>0</v>
      </c>
      <c r="G323" s="32" t="n">
        <v>0</v>
      </c>
      <c r="H323" s="32" t="n">
        <v>0</v>
      </c>
      <c r="I323" s="32" t="n">
        <v>0</v>
      </c>
      <c r="J323" s="32" t="n">
        <v>1</v>
      </c>
      <c r="K323" s="32" t="n">
        <v>0</v>
      </c>
      <c r="L323" s="32" t="n">
        <v>0</v>
      </c>
      <c r="M323" s="32" t="n">
        <v>1</v>
      </c>
      <c r="N323" s="32" t="n">
        <v>0</v>
      </c>
      <c r="O323" s="32" t="n">
        <v>0</v>
      </c>
      <c r="P323" s="32" t="n">
        <v>0</v>
      </c>
      <c r="Q323" s="32" t="n">
        <v>0</v>
      </c>
      <c r="R323" s="32" t="n">
        <v>0</v>
      </c>
      <c r="S323" s="32" t="n">
        <v>0</v>
      </c>
      <c r="T323" s="32" t="n">
        <v>0</v>
      </c>
      <c r="U323" s="32" t="n">
        <v>1</v>
      </c>
      <c r="V323" s="32" t="n">
        <v>0</v>
      </c>
      <c r="W323" s="32" t="n">
        <v>0</v>
      </c>
      <c r="X323" s="32" t="n">
        <v>0</v>
      </c>
      <c r="Y323" s="32" t="n">
        <v>0</v>
      </c>
      <c r="Z323" s="32" t="n">
        <v>0</v>
      </c>
      <c r="AA323" s="32" t="n">
        <v>0</v>
      </c>
      <c r="AB323" s="32" t="n">
        <v>0</v>
      </c>
      <c r="AC323" s="30" t="s">
        <v>424</v>
      </c>
      <c r="AD323" s="37" t="n">
        <f aca="false">B323-B322</f>
        <v>0.125</v>
      </c>
    </row>
    <row r="324" customFormat="false" ht="15" hidden="false" customHeight="false" outlineLevel="0" collapsed="false">
      <c r="A324" s="33" t="n">
        <v>321</v>
      </c>
      <c r="B324" s="34" t="n">
        <f aca="false">Summary!$B$5+IF(D324=1,0,IF(C324=1,Summary!$B$6,NA()))+(MATCH(1,E324:L324,0)-1)*Summary!$B$7+(MATCH(1,M324:T324,0)-1)*Summary!$B$8+(MATCH(1,U324:AB324,0)-1)*Summary!$B$9</f>
        <v>70.125</v>
      </c>
      <c r="C324" s="35" t="n">
        <v>0</v>
      </c>
      <c r="D324" s="35" t="n">
        <v>1</v>
      </c>
      <c r="E324" s="35" t="n">
        <v>0</v>
      </c>
      <c r="F324" s="35" t="n">
        <v>0</v>
      </c>
      <c r="G324" s="35" t="n">
        <v>0</v>
      </c>
      <c r="H324" s="35" t="n">
        <v>0</v>
      </c>
      <c r="I324" s="35" t="n">
        <v>0</v>
      </c>
      <c r="J324" s="35" t="n">
        <v>1</v>
      </c>
      <c r="K324" s="35" t="n">
        <v>0</v>
      </c>
      <c r="L324" s="35" t="n">
        <v>0</v>
      </c>
      <c r="M324" s="35" t="n">
        <v>1</v>
      </c>
      <c r="N324" s="35" t="n">
        <v>0</v>
      </c>
      <c r="O324" s="35" t="n">
        <v>0</v>
      </c>
      <c r="P324" s="35" t="n">
        <v>0</v>
      </c>
      <c r="Q324" s="35" t="n">
        <v>0</v>
      </c>
      <c r="R324" s="35" t="n">
        <v>0</v>
      </c>
      <c r="S324" s="35" t="n">
        <v>0</v>
      </c>
      <c r="T324" s="35" t="n">
        <v>0</v>
      </c>
      <c r="U324" s="35" t="n">
        <v>0</v>
      </c>
      <c r="V324" s="35" t="n">
        <v>1</v>
      </c>
      <c r="W324" s="35" t="n">
        <v>0</v>
      </c>
      <c r="X324" s="35" t="n">
        <v>0</v>
      </c>
      <c r="Y324" s="35" t="n">
        <v>0</v>
      </c>
      <c r="Z324" s="35" t="n">
        <v>0</v>
      </c>
      <c r="AA324" s="35" t="n">
        <v>0</v>
      </c>
      <c r="AB324" s="35" t="n">
        <v>0</v>
      </c>
      <c r="AC324" s="33" t="s">
        <v>425</v>
      </c>
      <c r="AD324" s="36" t="n">
        <f aca="false">B324-B323</f>
        <v>0.125</v>
      </c>
    </row>
    <row r="325" customFormat="false" ht="15" hidden="false" customHeight="false" outlineLevel="0" collapsed="false">
      <c r="A325" s="30" t="n">
        <v>322</v>
      </c>
      <c r="B325" s="31" t="n">
        <f aca="false">Summary!$B$5+IF(D325=1,0,IF(C325=1,Summary!$B$6,NA()))+(MATCH(1,E325:L325,0)-1)*Summary!$B$7+(MATCH(1,M325:T325,0)-1)*Summary!$B$8+(MATCH(1,U325:AB325,0)-1)*Summary!$B$9</f>
        <v>70.25</v>
      </c>
      <c r="C325" s="32" t="n">
        <v>0</v>
      </c>
      <c r="D325" s="32" t="n">
        <v>1</v>
      </c>
      <c r="E325" s="32" t="n">
        <v>0</v>
      </c>
      <c r="F325" s="32" t="n">
        <v>0</v>
      </c>
      <c r="G325" s="32" t="n">
        <v>0</v>
      </c>
      <c r="H325" s="32" t="n">
        <v>0</v>
      </c>
      <c r="I325" s="32" t="n">
        <v>0</v>
      </c>
      <c r="J325" s="32" t="n">
        <v>1</v>
      </c>
      <c r="K325" s="32" t="n">
        <v>0</v>
      </c>
      <c r="L325" s="32" t="n">
        <v>0</v>
      </c>
      <c r="M325" s="32" t="n">
        <v>1</v>
      </c>
      <c r="N325" s="32" t="n">
        <v>0</v>
      </c>
      <c r="O325" s="32" t="n">
        <v>0</v>
      </c>
      <c r="P325" s="32" t="n">
        <v>0</v>
      </c>
      <c r="Q325" s="32" t="n">
        <v>0</v>
      </c>
      <c r="R325" s="32" t="n">
        <v>0</v>
      </c>
      <c r="S325" s="32" t="n">
        <v>0</v>
      </c>
      <c r="T325" s="32" t="n">
        <v>0</v>
      </c>
      <c r="U325" s="32" t="n">
        <v>0</v>
      </c>
      <c r="V325" s="32" t="n">
        <v>0</v>
      </c>
      <c r="W325" s="32" t="n">
        <v>1</v>
      </c>
      <c r="X325" s="32" t="n">
        <v>0</v>
      </c>
      <c r="Y325" s="32" t="n">
        <v>0</v>
      </c>
      <c r="Z325" s="32" t="n">
        <v>0</v>
      </c>
      <c r="AA325" s="32" t="n">
        <v>0</v>
      </c>
      <c r="AB325" s="32" t="n">
        <v>0</v>
      </c>
      <c r="AC325" s="30" t="s">
        <v>426</v>
      </c>
      <c r="AD325" s="37" t="n">
        <f aca="false">B325-B324</f>
        <v>0.125</v>
      </c>
    </row>
    <row r="326" customFormat="false" ht="15" hidden="false" customHeight="false" outlineLevel="0" collapsed="false">
      <c r="A326" s="33" t="n">
        <v>323</v>
      </c>
      <c r="B326" s="34" t="n">
        <f aca="false">Summary!$B$5+IF(D326=1,0,IF(C326=1,Summary!$B$6,NA()))+(MATCH(1,E326:L326,0)-1)*Summary!$B$7+(MATCH(1,M326:T326,0)-1)*Summary!$B$8+(MATCH(1,U326:AB326,0)-1)*Summary!$B$9</f>
        <v>70.375</v>
      </c>
      <c r="C326" s="35" t="n">
        <v>0</v>
      </c>
      <c r="D326" s="35" t="n">
        <v>1</v>
      </c>
      <c r="E326" s="35" t="n">
        <v>0</v>
      </c>
      <c r="F326" s="35" t="n">
        <v>0</v>
      </c>
      <c r="G326" s="35" t="n">
        <v>0</v>
      </c>
      <c r="H326" s="35" t="n">
        <v>0</v>
      </c>
      <c r="I326" s="35" t="n">
        <v>0</v>
      </c>
      <c r="J326" s="35" t="n">
        <v>1</v>
      </c>
      <c r="K326" s="35" t="n">
        <v>0</v>
      </c>
      <c r="L326" s="35" t="n">
        <v>0</v>
      </c>
      <c r="M326" s="35" t="n">
        <v>1</v>
      </c>
      <c r="N326" s="35" t="n">
        <v>0</v>
      </c>
      <c r="O326" s="35" t="n">
        <v>0</v>
      </c>
      <c r="P326" s="35" t="n">
        <v>0</v>
      </c>
      <c r="Q326" s="35" t="n">
        <v>0</v>
      </c>
      <c r="R326" s="35" t="n">
        <v>0</v>
      </c>
      <c r="S326" s="35" t="n">
        <v>0</v>
      </c>
      <c r="T326" s="35" t="n">
        <v>0</v>
      </c>
      <c r="U326" s="35" t="n">
        <v>0</v>
      </c>
      <c r="V326" s="35" t="n">
        <v>0</v>
      </c>
      <c r="W326" s="35" t="n">
        <v>0</v>
      </c>
      <c r="X326" s="35" t="n">
        <v>1</v>
      </c>
      <c r="Y326" s="35" t="n">
        <v>0</v>
      </c>
      <c r="Z326" s="35" t="n">
        <v>0</v>
      </c>
      <c r="AA326" s="35" t="n">
        <v>0</v>
      </c>
      <c r="AB326" s="35" t="n">
        <v>0</v>
      </c>
      <c r="AC326" s="33" t="s">
        <v>427</v>
      </c>
      <c r="AD326" s="36" t="n">
        <f aca="false">B326-B325</f>
        <v>0.125</v>
      </c>
    </row>
    <row r="327" customFormat="false" ht="15" hidden="false" customHeight="false" outlineLevel="0" collapsed="false">
      <c r="A327" s="30" t="n">
        <v>324</v>
      </c>
      <c r="B327" s="31" t="n">
        <f aca="false">Summary!$B$5+IF(D327=1,0,IF(C327=1,Summary!$B$6,NA()))+(MATCH(1,E327:L327,0)-1)*Summary!$B$7+(MATCH(1,M327:T327,0)-1)*Summary!$B$8+(MATCH(1,U327:AB327,0)-1)*Summary!$B$9</f>
        <v>70.5</v>
      </c>
      <c r="C327" s="32" t="n">
        <v>0</v>
      </c>
      <c r="D327" s="32" t="n">
        <v>1</v>
      </c>
      <c r="E327" s="32" t="n">
        <v>0</v>
      </c>
      <c r="F327" s="32" t="n">
        <v>0</v>
      </c>
      <c r="G327" s="32" t="n">
        <v>0</v>
      </c>
      <c r="H327" s="32" t="n">
        <v>0</v>
      </c>
      <c r="I327" s="32" t="n">
        <v>0</v>
      </c>
      <c r="J327" s="32" t="n">
        <v>1</v>
      </c>
      <c r="K327" s="32" t="n">
        <v>0</v>
      </c>
      <c r="L327" s="32" t="n">
        <v>0</v>
      </c>
      <c r="M327" s="32" t="n">
        <v>1</v>
      </c>
      <c r="N327" s="32" t="n">
        <v>0</v>
      </c>
      <c r="O327" s="32" t="n">
        <v>0</v>
      </c>
      <c r="P327" s="32" t="n">
        <v>0</v>
      </c>
      <c r="Q327" s="32" t="n">
        <v>0</v>
      </c>
      <c r="R327" s="32" t="n">
        <v>0</v>
      </c>
      <c r="S327" s="32" t="n">
        <v>0</v>
      </c>
      <c r="T327" s="32" t="n">
        <v>0</v>
      </c>
      <c r="U327" s="32" t="n">
        <v>0</v>
      </c>
      <c r="V327" s="32" t="n">
        <v>0</v>
      </c>
      <c r="W327" s="32" t="n">
        <v>0</v>
      </c>
      <c r="X327" s="32" t="n">
        <v>0</v>
      </c>
      <c r="Y327" s="32" t="n">
        <v>1</v>
      </c>
      <c r="Z327" s="32" t="n">
        <v>0</v>
      </c>
      <c r="AA327" s="32" t="n">
        <v>0</v>
      </c>
      <c r="AB327" s="32" t="n">
        <v>0</v>
      </c>
      <c r="AC327" s="30" t="s">
        <v>428</v>
      </c>
      <c r="AD327" s="37" t="n">
        <f aca="false">B327-B326</f>
        <v>0.125</v>
      </c>
    </row>
    <row r="328" customFormat="false" ht="15" hidden="false" customHeight="false" outlineLevel="0" collapsed="false">
      <c r="A328" s="33" t="n">
        <v>325</v>
      </c>
      <c r="B328" s="34" t="n">
        <f aca="false">Summary!$B$5+IF(D328=1,0,IF(C328=1,Summary!$B$6,NA()))+(MATCH(1,E328:L328,0)-1)*Summary!$B$7+(MATCH(1,M328:T328,0)-1)*Summary!$B$8+(MATCH(1,U328:AB328,0)-1)*Summary!$B$9</f>
        <v>70.625</v>
      </c>
      <c r="C328" s="35" t="n">
        <v>0</v>
      </c>
      <c r="D328" s="35" t="n">
        <v>1</v>
      </c>
      <c r="E328" s="35" t="n">
        <v>0</v>
      </c>
      <c r="F328" s="35" t="n">
        <v>0</v>
      </c>
      <c r="G328" s="35" t="n">
        <v>0</v>
      </c>
      <c r="H328" s="35" t="n">
        <v>0</v>
      </c>
      <c r="I328" s="35" t="n">
        <v>0</v>
      </c>
      <c r="J328" s="35" t="n">
        <v>1</v>
      </c>
      <c r="K328" s="35" t="n">
        <v>0</v>
      </c>
      <c r="L328" s="35" t="n">
        <v>0</v>
      </c>
      <c r="M328" s="35" t="n">
        <v>1</v>
      </c>
      <c r="N328" s="35" t="n">
        <v>0</v>
      </c>
      <c r="O328" s="35" t="n">
        <v>0</v>
      </c>
      <c r="P328" s="35" t="n">
        <v>0</v>
      </c>
      <c r="Q328" s="35" t="n">
        <v>0</v>
      </c>
      <c r="R328" s="35" t="n">
        <v>0</v>
      </c>
      <c r="S328" s="35" t="n">
        <v>0</v>
      </c>
      <c r="T328" s="35" t="n">
        <v>0</v>
      </c>
      <c r="U328" s="35" t="n">
        <v>0</v>
      </c>
      <c r="V328" s="35" t="n">
        <v>0</v>
      </c>
      <c r="W328" s="35" t="n">
        <v>0</v>
      </c>
      <c r="X328" s="35" t="n">
        <v>0</v>
      </c>
      <c r="Y328" s="35" t="n">
        <v>0</v>
      </c>
      <c r="Z328" s="35" t="n">
        <v>1</v>
      </c>
      <c r="AA328" s="35" t="n">
        <v>0</v>
      </c>
      <c r="AB328" s="35" t="n">
        <v>0</v>
      </c>
      <c r="AC328" s="33" t="s">
        <v>429</v>
      </c>
      <c r="AD328" s="36" t="n">
        <f aca="false">B328-B327</f>
        <v>0.125</v>
      </c>
    </row>
    <row r="329" customFormat="false" ht="15" hidden="false" customHeight="false" outlineLevel="0" collapsed="false">
      <c r="A329" s="30" t="n">
        <v>326</v>
      </c>
      <c r="B329" s="31" t="n">
        <f aca="false">Summary!$B$5+IF(D329=1,0,IF(C329=1,Summary!$B$6,NA()))+(MATCH(1,E329:L329,0)-1)*Summary!$B$7+(MATCH(1,M329:T329,0)-1)*Summary!$B$8+(MATCH(1,U329:AB329,0)-1)*Summary!$B$9</f>
        <v>70.75</v>
      </c>
      <c r="C329" s="32" t="n">
        <v>0</v>
      </c>
      <c r="D329" s="32" t="n">
        <v>1</v>
      </c>
      <c r="E329" s="32" t="n">
        <v>0</v>
      </c>
      <c r="F329" s="32" t="n">
        <v>0</v>
      </c>
      <c r="G329" s="32" t="n">
        <v>0</v>
      </c>
      <c r="H329" s="32" t="n">
        <v>0</v>
      </c>
      <c r="I329" s="32" t="n">
        <v>0</v>
      </c>
      <c r="J329" s="32" t="n">
        <v>1</v>
      </c>
      <c r="K329" s="32" t="n">
        <v>0</v>
      </c>
      <c r="L329" s="32" t="n">
        <v>0</v>
      </c>
      <c r="M329" s="32" t="n">
        <v>1</v>
      </c>
      <c r="N329" s="32" t="n">
        <v>0</v>
      </c>
      <c r="O329" s="32" t="n">
        <v>0</v>
      </c>
      <c r="P329" s="32" t="n">
        <v>0</v>
      </c>
      <c r="Q329" s="32" t="n">
        <v>0</v>
      </c>
      <c r="R329" s="32" t="n">
        <v>0</v>
      </c>
      <c r="S329" s="32" t="n">
        <v>0</v>
      </c>
      <c r="T329" s="32" t="n">
        <v>0</v>
      </c>
      <c r="U329" s="32" t="n">
        <v>0</v>
      </c>
      <c r="V329" s="32" t="n">
        <v>0</v>
      </c>
      <c r="W329" s="32" t="n">
        <v>0</v>
      </c>
      <c r="X329" s="32" t="n">
        <v>0</v>
      </c>
      <c r="Y329" s="32" t="n">
        <v>0</v>
      </c>
      <c r="Z329" s="32" t="n">
        <v>0</v>
      </c>
      <c r="AA329" s="32" t="n">
        <v>1</v>
      </c>
      <c r="AB329" s="32" t="n">
        <v>0</v>
      </c>
      <c r="AC329" s="30" t="s">
        <v>430</v>
      </c>
      <c r="AD329" s="37" t="n">
        <f aca="false">B329-B328</f>
        <v>0.125</v>
      </c>
    </row>
    <row r="330" customFormat="false" ht="15" hidden="false" customHeight="false" outlineLevel="0" collapsed="false">
      <c r="A330" s="33" t="n">
        <v>327</v>
      </c>
      <c r="B330" s="34" t="n">
        <f aca="false">Summary!$B$5+IF(D330=1,0,IF(C330=1,Summary!$B$6,NA()))+(MATCH(1,E330:L330,0)-1)*Summary!$B$7+(MATCH(1,M330:T330,0)-1)*Summary!$B$8+(MATCH(1,U330:AB330,0)-1)*Summary!$B$9</f>
        <v>70.875</v>
      </c>
      <c r="C330" s="35" t="n">
        <v>0</v>
      </c>
      <c r="D330" s="35" t="n">
        <v>1</v>
      </c>
      <c r="E330" s="35" t="n">
        <v>0</v>
      </c>
      <c r="F330" s="35" t="n">
        <v>0</v>
      </c>
      <c r="G330" s="35" t="n">
        <v>0</v>
      </c>
      <c r="H330" s="35" t="n">
        <v>0</v>
      </c>
      <c r="I330" s="35" t="n">
        <v>0</v>
      </c>
      <c r="J330" s="35" t="n">
        <v>1</v>
      </c>
      <c r="K330" s="35" t="n">
        <v>0</v>
      </c>
      <c r="L330" s="35" t="n">
        <v>0</v>
      </c>
      <c r="M330" s="35" t="n">
        <v>1</v>
      </c>
      <c r="N330" s="35" t="n">
        <v>0</v>
      </c>
      <c r="O330" s="35" t="n">
        <v>0</v>
      </c>
      <c r="P330" s="35" t="n">
        <v>0</v>
      </c>
      <c r="Q330" s="35" t="n">
        <v>0</v>
      </c>
      <c r="R330" s="35" t="n">
        <v>0</v>
      </c>
      <c r="S330" s="35" t="n">
        <v>0</v>
      </c>
      <c r="T330" s="35" t="n">
        <v>0</v>
      </c>
      <c r="U330" s="35" t="n">
        <v>0</v>
      </c>
      <c r="V330" s="35" t="n">
        <v>0</v>
      </c>
      <c r="W330" s="35" t="n">
        <v>0</v>
      </c>
      <c r="X330" s="35" t="n">
        <v>0</v>
      </c>
      <c r="Y330" s="35" t="n">
        <v>0</v>
      </c>
      <c r="Z330" s="35" t="n">
        <v>0</v>
      </c>
      <c r="AA330" s="35" t="n">
        <v>0</v>
      </c>
      <c r="AB330" s="35" t="n">
        <v>1</v>
      </c>
      <c r="AC330" s="33" t="s">
        <v>431</v>
      </c>
      <c r="AD330" s="36" t="n">
        <f aca="false">B330-B329</f>
        <v>0.125</v>
      </c>
    </row>
    <row r="331" customFormat="false" ht="15" hidden="false" customHeight="false" outlineLevel="0" collapsed="false">
      <c r="A331" s="30" t="n">
        <v>328</v>
      </c>
      <c r="B331" s="31" t="n">
        <f aca="false">Summary!$B$5+IF(D331=1,0,IF(C331=1,Summary!$B$6,NA()))+(MATCH(1,E331:L331,0)-1)*Summary!$B$7+(MATCH(1,M331:T331,0)-1)*Summary!$B$8+(MATCH(1,U331:AB331,0)-1)*Summary!$B$9</f>
        <v>71</v>
      </c>
      <c r="C331" s="32" t="n">
        <v>0</v>
      </c>
      <c r="D331" s="32" t="n">
        <v>1</v>
      </c>
      <c r="E331" s="32" t="n">
        <v>0</v>
      </c>
      <c r="F331" s="32" t="n">
        <v>0</v>
      </c>
      <c r="G331" s="32" t="n">
        <v>0</v>
      </c>
      <c r="H331" s="32" t="n">
        <v>0</v>
      </c>
      <c r="I331" s="32" t="n">
        <v>0</v>
      </c>
      <c r="J331" s="32" t="n">
        <v>1</v>
      </c>
      <c r="K331" s="32" t="n">
        <v>0</v>
      </c>
      <c r="L331" s="32" t="n">
        <v>0</v>
      </c>
      <c r="M331" s="32" t="n">
        <v>0</v>
      </c>
      <c r="N331" s="32" t="n">
        <v>1</v>
      </c>
      <c r="O331" s="32" t="n">
        <v>0</v>
      </c>
      <c r="P331" s="32" t="n">
        <v>0</v>
      </c>
      <c r="Q331" s="32" t="n">
        <v>0</v>
      </c>
      <c r="R331" s="32" t="n">
        <v>0</v>
      </c>
      <c r="S331" s="32" t="n">
        <v>0</v>
      </c>
      <c r="T331" s="32" t="n">
        <v>0</v>
      </c>
      <c r="U331" s="32" t="n">
        <v>1</v>
      </c>
      <c r="V331" s="32" t="n">
        <v>0</v>
      </c>
      <c r="W331" s="32" t="n">
        <v>0</v>
      </c>
      <c r="X331" s="32" t="n">
        <v>0</v>
      </c>
      <c r="Y331" s="32" t="n">
        <v>0</v>
      </c>
      <c r="Z331" s="32" t="n">
        <v>0</v>
      </c>
      <c r="AA331" s="32" t="n">
        <v>0</v>
      </c>
      <c r="AB331" s="32" t="n">
        <v>0</v>
      </c>
      <c r="AC331" s="30" t="s">
        <v>432</v>
      </c>
      <c r="AD331" s="37" t="n">
        <f aca="false">B331-B330</f>
        <v>0.125</v>
      </c>
    </row>
    <row r="332" customFormat="false" ht="15" hidden="false" customHeight="false" outlineLevel="0" collapsed="false">
      <c r="A332" s="33" t="n">
        <v>329</v>
      </c>
      <c r="B332" s="34" t="n">
        <f aca="false">Summary!$B$5+IF(D332=1,0,IF(C332=1,Summary!$B$6,NA()))+(MATCH(1,E332:L332,0)-1)*Summary!$B$7+(MATCH(1,M332:T332,0)-1)*Summary!$B$8+(MATCH(1,U332:AB332,0)-1)*Summary!$B$9</f>
        <v>71.125</v>
      </c>
      <c r="C332" s="35" t="n">
        <v>0</v>
      </c>
      <c r="D332" s="35" t="n">
        <v>1</v>
      </c>
      <c r="E332" s="35" t="n">
        <v>0</v>
      </c>
      <c r="F332" s="35" t="n">
        <v>0</v>
      </c>
      <c r="G332" s="35" t="n">
        <v>0</v>
      </c>
      <c r="H332" s="35" t="n">
        <v>0</v>
      </c>
      <c r="I332" s="35" t="n">
        <v>0</v>
      </c>
      <c r="J332" s="35" t="n">
        <v>1</v>
      </c>
      <c r="K332" s="35" t="n">
        <v>0</v>
      </c>
      <c r="L332" s="35" t="n">
        <v>0</v>
      </c>
      <c r="M332" s="35" t="n">
        <v>0</v>
      </c>
      <c r="N332" s="35" t="n">
        <v>1</v>
      </c>
      <c r="O332" s="35" t="n">
        <v>0</v>
      </c>
      <c r="P332" s="35" t="n">
        <v>0</v>
      </c>
      <c r="Q332" s="35" t="n">
        <v>0</v>
      </c>
      <c r="R332" s="35" t="n">
        <v>0</v>
      </c>
      <c r="S332" s="35" t="n">
        <v>0</v>
      </c>
      <c r="T332" s="35" t="n">
        <v>0</v>
      </c>
      <c r="U332" s="35" t="n">
        <v>0</v>
      </c>
      <c r="V332" s="35" t="n">
        <v>1</v>
      </c>
      <c r="W332" s="35" t="n">
        <v>0</v>
      </c>
      <c r="X332" s="35" t="n">
        <v>0</v>
      </c>
      <c r="Y332" s="35" t="n">
        <v>0</v>
      </c>
      <c r="Z332" s="35" t="n">
        <v>0</v>
      </c>
      <c r="AA332" s="35" t="n">
        <v>0</v>
      </c>
      <c r="AB332" s="35" t="n">
        <v>0</v>
      </c>
      <c r="AC332" s="33" t="s">
        <v>433</v>
      </c>
      <c r="AD332" s="36" t="n">
        <f aca="false">B332-B331</f>
        <v>0.125</v>
      </c>
    </row>
    <row r="333" customFormat="false" ht="15" hidden="false" customHeight="false" outlineLevel="0" collapsed="false">
      <c r="A333" s="30" t="n">
        <v>330</v>
      </c>
      <c r="B333" s="31" t="n">
        <f aca="false">Summary!$B$5+IF(D333=1,0,IF(C333=1,Summary!$B$6,NA()))+(MATCH(1,E333:L333,0)-1)*Summary!$B$7+(MATCH(1,M333:T333,0)-1)*Summary!$B$8+(MATCH(1,U333:AB333,0)-1)*Summary!$B$9</f>
        <v>71.25</v>
      </c>
      <c r="C333" s="32" t="n">
        <v>0</v>
      </c>
      <c r="D333" s="32" t="n">
        <v>1</v>
      </c>
      <c r="E333" s="32" t="n">
        <v>0</v>
      </c>
      <c r="F333" s="32" t="n">
        <v>0</v>
      </c>
      <c r="G333" s="32" t="n">
        <v>0</v>
      </c>
      <c r="H333" s="32" t="n">
        <v>0</v>
      </c>
      <c r="I333" s="32" t="n">
        <v>0</v>
      </c>
      <c r="J333" s="32" t="n">
        <v>1</v>
      </c>
      <c r="K333" s="32" t="n">
        <v>0</v>
      </c>
      <c r="L333" s="32" t="n">
        <v>0</v>
      </c>
      <c r="M333" s="32" t="n">
        <v>0</v>
      </c>
      <c r="N333" s="32" t="n">
        <v>1</v>
      </c>
      <c r="O333" s="32" t="n">
        <v>0</v>
      </c>
      <c r="P333" s="32" t="n">
        <v>0</v>
      </c>
      <c r="Q333" s="32" t="n">
        <v>0</v>
      </c>
      <c r="R333" s="32" t="n">
        <v>0</v>
      </c>
      <c r="S333" s="32" t="n">
        <v>0</v>
      </c>
      <c r="T333" s="32" t="n">
        <v>0</v>
      </c>
      <c r="U333" s="32" t="n">
        <v>0</v>
      </c>
      <c r="V333" s="32" t="n">
        <v>0</v>
      </c>
      <c r="W333" s="32" t="n">
        <v>1</v>
      </c>
      <c r="X333" s="32" t="n">
        <v>0</v>
      </c>
      <c r="Y333" s="32" t="n">
        <v>0</v>
      </c>
      <c r="Z333" s="32" t="n">
        <v>0</v>
      </c>
      <c r="AA333" s="32" t="n">
        <v>0</v>
      </c>
      <c r="AB333" s="32" t="n">
        <v>0</v>
      </c>
      <c r="AC333" s="30" t="s">
        <v>434</v>
      </c>
      <c r="AD333" s="37" t="n">
        <f aca="false">B333-B332</f>
        <v>0.125</v>
      </c>
    </row>
    <row r="334" customFormat="false" ht="15" hidden="false" customHeight="false" outlineLevel="0" collapsed="false">
      <c r="A334" s="33" t="n">
        <v>331</v>
      </c>
      <c r="B334" s="34" t="n">
        <f aca="false">Summary!$B$5+IF(D334=1,0,IF(C334=1,Summary!$B$6,NA()))+(MATCH(1,E334:L334,0)-1)*Summary!$B$7+(MATCH(1,M334:T334,0)-1)*Summary!$B$8+(MATCH(1,U334:AB334,0)-1)*Summary!$B$9</f>
        <v>71.375</v>
      </c>
      <c r="C334" s="35" t="n">
        <v>0</v>
      </c>
      <c r="D334" s="35" t="n">
        <v>1</v>
      </c>
      <c r="E334" s="35" t="n">
        <v>0</v>
      </c>
      <c r="F334" s="35" t="n">
        <v>0</v>
      </c>
      <c r="G334" s="35" t="n">
        <v>0</v>
      </c>
      <c r="H334" s="35" t="n">
        <v>0</v>
      </c>
      <c r="I334" s="35" t="n">
        <v>0</v>
      </c>
      <c r="J334" s="35" t="n">
        <v>1</v>
      </c>
      <c r="K334" s="35" t="n">
        <v>0</v>
      </c>
      <c r="L334" s="35" t="n">
        <v>0</v>
      </c>
      <c r="M334" s="35" t="n">
        <v>0</v>
      </c>
      <c r="N334" s="35" t="n">
        <v>1</v>
      </c>
      <c r="O334" s="35" t="n">
        <v>0</v>
      </c>
      <c r="P334" s="35" t="n">
        <v>0</v>
      </c>
      <c r="Q334" s="35" t="n">
        <v>0</v>
      </c>
      <c r="R334" s="35" t="n">
        <v>0</v>
      </c>
      <c r="S334" s="35" t="n">
        <v>0</v>
      </c>
      <c r="T334" s="35" t="n">
        <v>0</v>
      </c>
      <c r="U334" s="35" t="n">
        <v>0</v>
      </c>
      <c r="V334" s="35" t="n">
        <v>0</v>
      </c>
      <c r="W334" s="35" t="n">
        <v>0</v>
      </c>
      <c r="X334" s="35" t="n">
        <v>1</v>
      </c>
      <c r="Y334" s="35" t="n">
        <v>0</v>
      </c>
      <c r="Z334" s="35" t="n">
        <v>0</v>
      </c>
      <c r="AA334" s="35" t="n">
        <v>0</v>
      </c>
      <c r="AB334" s="35" t="n">
        <v>0</v>
      </c>
      <c r="AC334" s="33" t="s">
        <v>435</v>
      </c>
      <c r="AD334" s="36" t="n">
        <f aca="false">B334-B333</f>
        <v>0.125</v>
      </c>
    </row>
    <row r="335" customFormat="false" ht="15" hidden="false" customHeight="false" outlineLevel="0" collapsed="false">
      <c r="A335" s="30" t="n">
        <v>332</v>
      </c>
      <c r="B335" s="31" t="n">
        <f aca="false">Summary!$B$5+IF(D335=1,0,IF(C335=1,Summary!$B$6,NA()))+(MATCH(1,E335:L335,0)-1)*Summary!$B$7+(MATCH(1,M335:T335,0)-1)*Summary!$B$8+(MATCH(1,U335:AB335,0)-1)*Summary!$B$9</f>
        <v>71.5</v>
      </c>
      <c r="C335" s="32" t="n">
        <v>0</v>
      </c>
      <c r="D335" s="32" t="n">
        <v>1</v>
      </c>
      <c r="E335" s="32" t="n">
        <v>0</v>
      </c>
      <c r="F335" s="32" t="n">
        <v>0</v>
      </c>
      <c r="G335" s="32" t="n">
        <v>0</v>
      </c>
      <c r="H335" s="32" t="n">
        <v>0</v>
      </c>
      <c r="I335" s="32" t="n">
        <v>0</v>
      </c>
      <c r="J335" s="32" t="n">
        <v>1</v>
      </c>
      <c r="K335" s="32" t="n">
        <v>0</v>
      </c>
      <c r="L335" s="32" t="n">
        <v>0</v>
      </c>
      <c r="M335" s="32" t="n">
        <v>0</v>
      </c>
      <c r="N335" s="32" t="n">
        <v>1</v>
      </c>
      <c r="O335" s="32" t="n">
        <v>0</v>
      </c>
      <c r="P335" s="32" t="n">
        <v>0</v>
      </c>
      <c r="Q335" s="32" t="n">
        <v>0</v>
      </c>
      <c r="R335" s="32" t="n">
        <v>0</v>
      </c>
      <c r="S335" s="32" t="n">
        <v>0</v>
      </c>
      <c r="T335" s="32" t="n">
        <v>0</v>
      </c>
      <c r="U335" s="32" t="n">
        <v>0</v>
      </c>
      <c r="V335" s="32" t="n">
        <v>0</v>
      </c>
      <c r="W335" s="32" t="n">
        <v>0</v>
      </c>
      <c r="X335" s="32" t="n">
        <v>0</v>
      </c>
      <c r="Y335" s="32" t="n">
        <v>1</v>
      </c>
      <c r="Z335" s="32" t="n">
        <v>0</v>
      </c>
      <c r="AA335" s="32" t="n">
        <v>0</v>
      </c>
      <c r="AB335" s="32" t="n">
        <v>0</v>
      </c>
      <c r="AC335" s="30" t="s">
        <v>436</v>
      </c>
      <c r="AD335" s="37" t="n">
        <f aca="false">B335-B334</f>
        <v>0.125</v>
      </c>
    </row>
    <row r="336" customFormat="false" ht="15" hidden="false" customHeight="false" outlineLevel="0" collapsed="false">
      <c r="A336" s="33" t="n">
        <v>333</v>
      </c>
      <c r="B336" s="34" t="n">
        <f aca="false">Summary!$B$5+IF(D336=1,0,IF(C336=1,Summary!$B$6,NA()))+(MATCH(1,E336:L336,0)-1)*Summary!$B$7+(MATCH(1,M336:T336,0)-1)*Summary!$B$8+(MATCH(1,U336:AB336,0)-1)*Summary!$B$9</f>
        <v>71.625</v>
      </c>
      <c r="C336" s="35" t="n">
        <v>0</v>
      </c>
      <c r="D336" s="35" t="n">
        <v>1</v>
      </c>
      <c r="E336" s="35" t="n">
        <v>0</v>
      </c>
      <c r="F336" s="35" t="n">
        <v>0</v>
      </c>
      <c r="G336" s="35" t="n">
        <v>0</v>
      </c>
      <c r="H336" s="35" t="n">
        <v>0</v>
      </c>
      <c r="I336" s="35" t="n">
        <v>0</v>
      </c>
      <c r="J336" s="35" t="n">
        <v>1</v>
      </c>
      <c r="K336" s="35" t="n">
        <v>0</v>
      </c>
      <c r="L336" s="35" t="n">
        <v>0</v>
      </c>
      <c r="M336" s="35" t="n">
        <v>0</v>
      </c>
      <c r="N336" s="35" t="n">
        <v>1</v>
      </c>
      <c r="O336" s="35" t="n">
        <v>0</v>
      </c>
      <c r="P336" s="35" t="n">
        <v>0</v>
      </c>
      <c r="Q336" s="35" t="n">
        <v>0</v>
      </c>
      <c r="R336" s="35" t="n">
        <v>0</v>
      </c>
      <c r="S336" s="35" t="n">
        <v>0</v>
      </c>
      <c r="T336" s="35" t="n">
        <v>0</v>
      </c>
      <c r="U336" s="35" t="n">
        <v>0</v>
      </c>
      <c r="V336" s="35" t="n">
        <v>0</v>
      </c>
      <c r="W336" s="35" t="n">
        <v>0</v>
      </c>
      <c r="X336" s="35" t="n">
        <v>0</v>
      </c>
      <c r="Y336" s="35" t="n">
        <v>0</v>
      </c>
      <c r="Z336" s="35" t="n">
        <v>1</v>
      </c>
      <c r="AA336" s="35" t="n">
        <v>0</v>
      </c>
      <c r="AB336" s="35" t="n">
        <v>0</v>
      </c>
      <c r="AC336" s="33" t="s">
        <v>437</v>
      </c>
      <c r="AD336" s="36" t="n">
        <f aca="false">B336-B335</f>
        <v>0.125</v>
      </c>
    </row>
    <row r="337" customFormat="false" ht="15" hidden="false" customHeight="false" outlineLevel="0" collapsed="false">
      <c r="A337" s="30" t="n">
        <v>334</v>
      </c>
      <c r="B337" s="31" t="n">
        <f aca="false">Summary!$B$5+IF(D337=1,0,IF(C337=1,Summary!$B$6,NA()))+(MATCH(1,E337:L337,0)-1)*Summary!$B$7+(MATCH(1,M337:T337,0)-1)*Summary!$B$8+(MATCH(1,U337:AB337,0)-1)*Summary!$B$9</f>
        <v>71.75</v>
      </c>
      <c r="C337" s="32" t="n">
        <v>0</v>
      </c>
      <c r="D337" s="32" t="n">
        <v>1</v>
      </c>
      <c r="E337" s="32" t="n">
        <v>0</v>
      </c>
      <c r="F337" s="32" t="n">
        <v>0</v>
      </c>
      <c r="G337" s="32" t="n">
        <v>0</v>
      </c>
      <c r="H337" s="32" t="n">
        <v>0</v>
      </c>
      <c r="I337" s="32" t="n">
        <v>0</v>
      </c>
      <c r="J337" s="32" t="n">
        <v>1</v>
      </c>
      <c r="K337" s="32" t="n">
        <v>0</v>
      </c>
      <c r="L337" s="32" t="n">
        <v>0</v>
      </c>
      <c r="M337" s="32" t="n">
        <v>0</v>
      </c>
      <c r="N337" s="32" t="n">
        <v>1</v>
      </c>
      <c r="O337" s="32" t="n">
        <v>0</v>
      </c>
      <c r="P337" s="32" t="n">
        <v>0</v>
      </c>
      <c r="Q337" s="32" t="n">
        <v>0</v>
      </c>
      <c r="R337" s="32" t="n">
        <v>0</v>
      </c>
      <c r="S337" s="32" t="n">
        <v>0</v>
      </c>
      <c r="T337" s="32" t="n">
        <v>0</v>
      </c>
      <c r="U337" s="32" t="n">
        <v>0</v>
      </c>
      <c r="V337" s="32" t="n">
        <v>0</v>
      </c>
      <c r="W337" s="32" t="n">
        <v>0</v>
      </c>
      <c r="X337" s="32" t="n">
        <v>0</v>
      </c>
      <c r="Y337" s="32" t="n">
        <v>0</v>
      </c>
      <c r="Z337" s="32" t="n">
        <v>0</v>
      </c>
      <c r="AA337" s="32" t="n">
        <v>1</v>
      </c>
      <c r="AB337" s="32" t="n">
        <v>0</v>
      </c>
      <c r="AC337" s="30" t="s">
        <v>438</v>
      </c>
      <c r="AD337" s="37" t="n">
        <f aca="false">B337-B336</f>
        <v>0.125</v>
      </c>
    </row>
    <row r="338" customFormat="false" ht="15" hidden="false" customHeight="false" outlineLevel="0" collapsed="false">
      <c r="A338" s="33" t="n">
        <v>335</v>
      </c>
      <c r="B338" s="34" t="n">
        <f aca="false">Summary!$B$5+IF(D338=1,0,IF(C338=1,Summary!$B$6,NA()))+(MATCH(1,E338:L338,0)-1)*Summary!$B$7+(MATCH(1,M338:T338,0)-1)*Summary!$B$8+(MATCH(1,U338:AB338,0)-1)*Summary!$B$9</f>
        <v>71.875</v>
      </c>
      <c r="C338" s="35" t="n">
        <v>0</v>
      </c>
      <c r="D338" s="35" t="n">
        <v>1</v>
      </c>
      <c r="E338" s="35" t="n">
        <v>0</v>
      </c>
      <c r="F338" s="35" t="n">
        <v>0</v>
      </c>
      <c r="G338" s="35" t="n">
        <v>0</v>
      </c>
      <c r="H338" s="35" t="n">
        <v>0</v>
      </c>
      <c r="I338" s="35" t="n">
        <v>0</v>
      </c>
      <c r="J338" s="35" t="n">
        <v>1</v>
      </c>
      <c r="K338" s="35" t="n">
        <v>0</v>
      </c>
      <c r="L338" s="35" t="n">
        <v>0</v>
      </c>
      <c r="M338" s="35" t="n">
        <v>0</v>
      </c>
      <c r="N338" s="35" t="n">
        <v>1</v>
      </c>
      <c r="O338" s="35" t="n">
        <v>0</v>
      </c>
      <c r="P338" s="35" t="n">
        <v>0</v>
      </c>
      <c r="Q338" s="35" t="n">
        <v>0</v>
      </c>
      <c r="R338" s="35" t="n">
        <v>0</v>
      </c>
      <c r="S338" s="35" t="n">
        <v>0</v>
      </c>
      <c r="T338" s="35" t="n">
        <v>0</v>
      </c>
      <c r="U338" s="35" t="n">
        <v>0</v>
      </c>
      <c r="V338" s="35" t="n">
        <v>0</v>
      </c>
      <c r="W338" s="35" t="n">
        <v>0</v>
      </c>
      <c r="X338" s="35" t="n">
        <v>0</v>
      </c>
      <c r="Y338" s="35" t="n">
        <v>0</v>
      </c>
      <c r="Z338" s="35" t="n">
        <v>0</v>
      </c>
      <c r="AA338" s="35" t="n">
        <v>0</v>
      </c>
      <c r="AB338" s="35" t="n">
        <v>1</v>
      </c>
      <c r="AC338" s="33" t="s">
        <v>439</v>
      </c>
      <c r="AD338" s="36" t="n">
        <f aca="false">B338-B337</f>
        <v>0.125</v>
      </c>
    </row>
    <row r="339" customFormat="false" ht="15" hidden="false" customHeight="false" outlineLevel="0" collapsed="false">
      <c r="A339" s="30" t="n">
        <v>336</v>
      </c>
      <c r="B339" s="31" t="n">
        <f aca="false">Summary!$B$5+IF(D339=1,0,IF(C339=1,Summary!$B$6,NA()))+(MATCH(1,E339:L339,0)-1)*Summary!$B$7+(MATCH(1,M339:T339,0)-1)*Summary!$B$8+(MATCH(1,U339:AB339,0)-1)*Summary!$B$9</f>
        <v>72</v>
      </c>
      <c r="C339" s="32" t="n">
        <v>0</v>
      </c>
      <c r="D339" s="32" t="n">
        <v>1</v>
      </c>
      <c r="E339" s="32" t="n">
        <v>0</v>
      </c>
      <c r="F339" s="32" t="n">
        <v>0</v>
      </c>
      <c r="G339" s="32" t="n">
        <v>0</v>
      </c>
      <c r="H339" s="32" t="n">
        <v>0</v>
      </c>
      <c r="I339" s="32" t="n">
        <v>0</v>
      </c>
      <c r="J339" s="32" t="n">
        <v>1</v>
      </c>
      <c r="K339" s="32" t="n">
        <v>0</v>
      </c>
      <c r="L339" s="32" t="n">
        <v>0</v>
      </c>
      <c r="M339" s="32" t="n">
        <v>0</v>
      </c>
      <c r="N339" s="32" t="n">
        <v>0</v>
      </c>
      <c r="O339" s="32" t="n">
        <v>1</v>
      </c>
      <c r="P339" s="32" t="n">
        <v>0</v>
      </c>
      <c r="Q339" s="32" t="n">
        <v>0</v>
      </c>
      <c r="R339" s="32" t="n">
        <v>0</v>
      </c>
      <c r="S339" s="32" t="n">
        <v>0</v>
      </c>
      <c r="T339" s="32" t="n">
        <v>0</v>
      </c>
      <c r="U339" s="32" t="n">
        <v>1</v>
      </c>
      <c r="V339" s="32" t="n">
        <v>0</v>
      </c>
      <c r="W339" s="32" t="n">
        <v>0</v>
      </c>
      <c r="X339" s="32" t="n">
        <v>0</v>
      </c>
      <c r="Y339" s="32" t="n">
        <v>0</v>
      </c>
      <c r="Z339" s="32" t="n">
        <v>0</v>
      </c>
      <c r="AA339" s="32" t="n">
        <v>0</v>
      </c>
      <c r="AB339" s="32" t="n">
        <v>0</v>
      </c>
      <c r="AC339" s="30" t="s">
        <v>440</v>
      </c>
      <c r="AD339" s="37" t="n">
        <f aca="false">B339-B338</f>
        <v>0.125</v>
      </c>
    </row>
    <row r="340" customFormat="false" ht="15" hidden="false" customHeight="false" outlineLevel="0" collapsed="false">
      <c r="A340" s="33" t="n">
        <v>337</v>
      </c>
      <c r="B340" s="34" t="n">
        <f aca="false">Summary!$B$5+IF(D340=1,0,IF(C340=1,Summary!$B$6,NA()))+(MATCH(1,E340:L340,0)-1)*Summary!$B$7+(MATCH(1,M340:T340,0)-1)*Summary!$B$8+(MATCH(1,U340:AB340,0)-1)*Summary!$B$9</f>
        <v>72.125</v>
      </c>
      <c r="C340" s="35" t="n">
        <v>0</v>
      </c>
      <c r="D340" s="35" t="n">
        <v>1</v>
      </c>
      <c r="E340" s="35" t="n">
        <v>0</v>
      </c>
      <c r="F340" s="35" t="n">
        <v>0</v>
      </c>
      <c r="G340" s="35" t="n">
        <v>0</v>
      </c>
      <c r="H340" s="35" t="n">
        <v>0</v>
      </c>
      <c r="I340" s="35" t="n">
        <v>0</v>
      </c>
      <c r="J340" s="35" t="n">
        <v>1</v>
      </c>
      <c r="K340" s="35" t="n">
        <v>0</v>
      </c>
      <c r="L340" s="35" t="n">
        <v>0</v>
      </c>
      <c r="M340" s="35" t="n">
        <v>0</v>
      </c>
      <c r="N340" s="35" t="n">
        <v>0</v>
      </c>
      <c r="O340" s="35" t="n">
        <v>1</v>
      </c>
      <c r="P340" s="35" t="n">
        <v>0</v>
      </c>
      <c r="Q340" s="35" t="n">
        <v>0</v>
      </c>
      <c r="R340" s="35" t="n">
        <v>0</v>
      </c>
      <c r="S340" s="35" t="n">
        <v>0</v>
      </c>
      <c r="T340" s="35" t="n">
        <v>0</v>
      </c>
      <c r="U340" s="35" t="n">
        <v>0</v>
      </c>
      <c r="V340" s="35" t="n">
        <v>1</v>
      </c>
      <c r="W340" s="35" t="n">
        <v>0</v>
      </c>
      <c r="X340" s="35" t="n">
        <v>0</v>
      </c>
      <c r="Y340" s="35" t="n">
        <v>0</v>
      </c>
      <c r="Z340" s="35" t="n">
        <v>0</v>
      </c>
      <c r="AA340" s="35" t="n">
        <v>0</v>
      </c>
      <c r="AB340" s="35" t="n">
        <v>0</v>
      </c>
      <c r="AC340" s="33" t="s">
        <v>441</v>
      </c>
      <c r="AD340" s="36" t="n">
        <f aca="false">B340-B339</f>
        <v>0.125</v>
      </c>
    </row>
    <row r="341" customFormat="false" ht="15" hidden="false" customHeight="false" outlineLevel="0" collapsed="false">
      <c r="A341" s="30" t="n">
        <v>338</v>
      </c>
      <c r="B341" s="31" t="n">
        <f aca="false">Summary!$B$5+IF(D341=1,0,IF(C341=1,Summary!$B$6,NA()))+(MATCH(1,E341:L341,0)-1)*Summary!$B$7+(MATCH(1,M341:T341,0)-1)*Summary!$B$8+(MATCH(1,U341:AB341,0)-1)*Summary!$B$9</f>
        <v>72.25</v>
      </c>
      <c r="C341" s="32" t="n">
        <v>0</v>
      </c>
      <c r="D341" s="32" t="n">
        <v>1</v>
      </c>
      <c r="E341" s="32" t="n">
        <v>0</v>
      </c>
      <c r="F341" s="32" t="n">
        <v>0</v>
      </c>
      <c r="G341" s="32" t="n">
        <v>0</v>
      </c>
      <c r="H341" s="32" t="n">
        <v>0</v>
      </c>
      <c r="I341" s="32" t="n">
        <v>0</v>
      </c>
      <c r="J341" s="32" t="n">
        <v>1</v>
      </c>
      <c r="K341" s="32" t="n">
        <v>0</v>
      </c>
      <c r="L341" s="32" t="n">
        <v>0</v>
      </c>
      <c r="M341" s="32" t="n">
        <v>0</v>
      </c>
      <c r="N341" s="32" t="n">
        <v>0</v>
      </c>
      <c r="O341" s="32" t="n">
        <v>1</v>
      </c>
      <c r="P341" s="32" t="n">
        <v>0</v>
      </c>
      <c r="Q341" s="32" t="n">
        <v>0</v>
      </c>
      <c r="R341" s="32" t="n">
        <v>0</v>
      </c>
      <c r="S341" s="32" t="n">
        <v>0</v>
      </c>
      <c r="T341" s="32" t="n">
        <v>0</v>
      </c>
      <c r="U341" s="32" t="n">
        <v>0</v>
      </c>
      <c r="V341" s="32" t="n">
        <v>0</v>
      </c>
      <c r="W341" s="32" t="n">
        <v>1</v>
      </c>
      <c r="X341" s="32" t="n">
        <v>0</v>
      </c>
      <c r="Y341" s="32" t="n">
        <v>0</v>
      </c>
      <c r="Z341" s="32" t="n">
        <v>0</v>
      </c>
      <c r="AA341" s="32" t="n">
        <v>0</v>
      </c>
      <c r="AB341" s="32" t="n">
        <v>0</v>
      </c>
      <c r="AC341" s="30" t="s">
        <v>442</v>
      </c>
      <c r="AD341" s="37" t="n">
        <f aca="false">B341-B340</f>
        <v>0.125</v>
      </c>
    </row>
    <row r="342" customFormat="false" ht="15" hidden="false" customHeight="false" outlineLevel="0" collapsed="false">
      <c r="A342" s="33" t="n">
        <v>339</v>
      </c>
      <c r="B342" s="34" t="n">
        <f aca="false">Summary!$B$5+IF(D342=1,0,IF(C342=1,Summary!$B$6,NA()))+(MATCH(1,E342:L342,0)-1)*Summary!$B$7+(MATCH(1,M342:T342,0)-1)*Summary!$B$8+(MATCH(1,U342:AB342,0)-1)*Summary!$B$9</f>
        <v>72.375</v>
      </c>
      <c r="C342" s="35" t="n">
        <v>0</v>
      </c>
      <c r="D342" s="35" t="n">
        <v>1</v>
      </c>
      <c r="E342" s="35" t="n">
        <v>0</v>
      </c>
      <c r="F342" s="35" t="n">
        <v>0</v>
      </c>
      <c r="G342" s="35" t="n">
        <v>0</v>
      </c>
      <c r="H342" s="35" t="n">
        <v>0</v>
      </c>
      <c r="I342" s="35" t="n">
        <v>0</v>
      </c>
      <c r="J342" s="35" t="n">
        <v>1</v>
      </c>
      <c r="K342" s="35" t="n">
        <v>0</v>
      </c>
      <c r="L342" s="35" t="n">
        <v>0</v>
      </c>
      <c r="M342" s="35" t="n">
        <v>0</v>
      </c>
      <c r="N342" s="35" t="n">
        <v>0</v>
      </c>
      <c r="O342" s="35" t="n">
        <v>1</v>
      </c>
      <c r="P342" s="35" t="n">
        <v>0</v>
      </c>
      <c r="Q342" s="35" t="n">
        <v>0</v>
      </c>
      <c r="R342" s="35" t="n">
        <v>0</v>
      </c>
      <c r="S342" s="35" t="n">
        <v>0</v>
      </c>
      <c r="T342" s="35" t="n">
        <v>0</v>
      </c>
      <c r="U342" s="35" t="n">
        <v>0</v>
      </c>
      <c r="V342" s="35" t="n">
        <v>0</v>
      </c>
      <c r="W342" s="35" t="n">
        <v>0</v>
      </c>
      <c r="X342" s="35" t="n">
        <v>1</v>
      </c>
      <c r="Y342" s="35" t="n">
        <v>0</v>
      </c>
      <c r="Z342" s="35" t="n">
        <v>0</v>
      </c>
      <c r="AA342" s="35" t="n">
        <v>0</v>
      </c>
      <c r="AB342" s="35" t="n">
        <v>0</v>
      </c>
      <c r="AC342" s="33" t="s">
        <v>443</v>
      </c>
      <c r="AD342" s="36" t="n">
        <f aca="false">B342-B341</f>
        <v>0.125</v>
      </c>
    </row>
    <row r="343" customFormat="false" ht="15" hidden="false" customHeight="false" outlineLevel="0" collapsed="false">
      <c r="A343" s="30" t="n">
        <v>340</v>
      </c>
      <c r="B343" s="31" t="n">
        <f aca="false">Summary!$B$5+IF(D343=1,0,IF(C343=1,Summary!$B$6,NA()))+(MATCH(1,E343:L343,0)-1)*Summary!$B$7+(MATCH(1,M343:T343,0)-1)*Summary!$B$8+(MATCH(1,U343:AB343,0)-1)*Summary!$B$9</f>
        <v>72.5</v>
      </c>
      <c r="C343" s="32" t="n">
        <v>0</v>
      </c>
      <c r="D343" s="32" t="n">
        <v>1</v>
      </c>
      <c r="E343" s="32" t="n">
        <v>0</v>
      </c>
      <c r="F343" s="32" t="n">
        <v>0</v>
      </c>
      <c r="G343" s="32" t="n">
        <v>0</v>
      </c>
      <c r="H343" s="32" t="n">
        <v>0</v>
      </c>
      <c r="I343" s="32" t="n">
        <v>0</v>
      </c>
      <c r="J343" s="32" t="n">
        <v>1</v>
      </c>
      <c r="K343" s="32" t="n">
        <v>0</v>
      </c>
      <c r="L343" s="32" t="n">
        <v>0</v>
      </c>
      <c r="M343" s="32" t="n">
        <v>0</v>
      </c>
      <c r="N343" s="32" t="n">
        <v>0</v>
      </c>
      <c r="O343" s="32" t="n">
        <v>1</v>
      </c>
      <c r="P343" s="32" t="n">
        <v>0</v>
      </c>
      <c r="Q343" s="32" t="n">
        <v>0</v>
      </c>
      <c r="R343" s="32" t="n">
        <v>0</v>
      </c>
      <c r="S343" s="32" t="n">
        <v>0</v>
      </c>
      <c r="T343" s="32" t="n">
        <v>0</v>
      </c>
      <c r="U343" s="32" t="n">
        <v>0</v>
      </c>
      <c r="V343" s="32" t="n">
        <v>0</v>
      </c>
      <c r="W343" s="32" t="n">
        <v>0</v>
      </c>
      <c r="X343" s="32" t="n">
        <v>0</v>
      </c>
      <c r="Y343" s="32" t="n">
        <v>1</v>
      </c>
      <c r="Z343" s="32" t="n">
        <v>0</v>
      </c>
      <c r="AA343" s="32" t="n">
        <v>0</v>
      </c>
      <c r="AB343" s="32" t="n">
        <v>0</v>
      </c>
      <c r="AC343" s="30" t="s">
        <v>444</v>
      </c>
      <c r="AD343" s="37" t="n">
        <f aca="false">B343-B342</f>
        <v>0.125</v>
      </c>
    </row>
    <row r="344" customFormat="false" ht="15" hidden="false" customHeight="false" outlineLevel="0" collapsed="false">
      <c r="A344" s="33" t="n">
        <v>341</v>
      </c>
      <c r="B344" s="34" t="n">
        <f aca="false">Summary!$B$5+IF(D344=1,0,IF(C344=1,Summary!$B$6,NA()))+(MATCH(1,E344:L344,0)-1)*Summary!$B$7+(MATCH(1,M344:T344,0)-1)*Summary!$B$8+(MATCH(1,U344:AB344,0)-1)*Summary!$B$9</f>
        <v>72.625</v>
      </c>
      <c r="C344" s="35" t="n">
        <v>0</v>
      </c>
      <c r="D344" s="35" t="n">
        <v>1</v>
      </c>
      <c r="E344" s="35" t="n">
        <v>0</v>
      </c>
      <c r="F344" s="35" t="n">
        <v>0</v>
      </c>
      <c r="G344" s="35" t="n">
        <v>0</v>
      </c>
      <c r="H344" s="35" t="n">
        <v>0</v>
      </c>
      <c r="I344" s="35" t="n">
        <v>0</v>
      </c>
      <c r="J344" s="35" t="n">
        <v>1</v>
      </c>
      <c r="K344" s="35" t="n">
        <v>0</v>
      </c>
      <c r="L344" s="35" t="n">
        <v>0</v>
      </c>
      <c r="M344" s="35" t="n">
        <v>0</v>
      </c>
      <c r="N344" s="35" t="n">
        <v>0</v>
      </c>
      <c r="O344" s="35" t="n">
        <v>1</v>
      </c>
      <c r="P344" s="35" t="n">
        <v>0</v>
      </c>
      <c r="Q344" s="35" t="n">
        <v>0</v>
      </c>
      <c r="R344" s="35" t="n">
        <v>0</v>
      </c>
      <c r="S344" s="35" t="n">
        <v>0</v>
      </c>
      <c r="T344" s="35" t="n">
        <v>0</v>
      </c>
      <c r="U344" s="35" t="n">
        <v>0</v>
      </c>
      <c r="V344" s="35" t="n">
        <v>0</v>
      </c>
      <c r="W344" s="35" t="n">
        <v>0</v>
      </c>
      <c r="X344" s="35" t="n">
        <v>0</v>
      </c>
      <c r="Y344" s="35" t="n">
        <v>0</v>
      </c>
      <c r="Z344" s="35" t="n">
        <v>1</v>
      </c>
      <c r="AA344" s="35" t="n">
        <v>0</v>
      </c>
      <c r="AB344" s="35" t="n">
        <v>0</v>
      </c>
      <c r="AC344" s="33" t="s">
        <v>445</v>
      </c>
      <c r="AD344" s="36" t="n">
        <f aca="false">B344-B343</f>
        <v>0.125</v>
      </c>
    </row>
    <row r="345" customFormat="false" ht="15" hidden="false" customHeight="false" outlineLevel="0" collapsed="false">
      <c r="A345" s="30" t="n">
        <v>342</v>
      </c>
      <c r="B345" s="31" t="n">
        <f aca="false">Summary!$B$5+IF(D345=1,0,IF(C345=1,Summary!$B$6,NA()))+(MATCH(1,E345:L345,0)-1)*Summary!$B$7+(MATCH(1,M345:T345,0)-1)*Summary!$B$8+(MATCH(1,U345:AB345,0)-1)*Summary!$B$9</f>
        <v>72.75</v>
      </c>
      <c r="C345" s="32" t="n">
        <v>0</v>
      </c>
      <c r="D345" s="32" t="n">
        <v>1</v>
      </c>
      <c r="E345" s="32" t="n">
        <v>0</v>
      </c>
      <c r="F345" s="32" t="n">
        <v>0</v>
      </c>
      <c r="G345" s="32" t="n">
        <v>0</v>
      </c>
      <c r="H345" s="32" t="n">
        <v>0</v>
      </c>
      <c r="I345" s="32" t="n">
        <v>0</v>
      </c>
      <c r="J345" s="32" t="n">
        <v>1</v>
      </c>
      <c r="K345" s="32" t="n">
        <v>0</v>
      </c>
      <c r="L345" s="32" t="n">
        <v>0</v>
      </c>
      <c r="M345" s="32" t="n">
        <v>0</v>
      </c>
      <c r="N345" s="32" t="n">
        <v>0</v>
      </c>
      <c r="O345" s="32" t="n">
        <v>1</v>
      </c>
      <c r="P345" s="32" t="n">
        <v>0</v>
      </c>
      <c r="Q345" s="32" t="n">
        <v>0</v>
      </c>
      <c r="R345" s="32" t="n">
        <v>0</v>
      </c>
      <c r="S345" s="32" t="n">
        <v>0</v>
      </c>
      <c r="T345" s="32" t="n">
        <v>0</v>
      </c>
      <c r="U345" s="32" t="n">
        <v>0</v>
      </c>
      <c r="V345" s="32" t="n">
        <v>0</v>
      </c>
      <c r="W345" s="32" t="n">
        <v>0</v>
      </c>
      <c r="X345" s="32" t="n">
        <v>0</v>
      </c>
      <c r="Y345" s="32" t="n">
        <v>0</v>
      </c>
      <c r="Z345" s="32" t="n">
        <v>0</v>
      </c>
      <c r="AA345" s="32" t="n">
        <v>1</v>
      </c>
      <c r="AB345" s="32" t="n">
        <v>0</v>
      </c>
      <c r="AC345" s="30" t="s">
        <v>446</v>
      </c>
      <c r="AD345" s="37" t="n">
        <f aca="false">B345-B344</f>
        <v>0.125</v>
      </c>
    </row>
    <row r="346" customFormat="false" ht="15" hidden="false" customHeight="false" outlineLevel="0" collapsed="false">
      <c r="A346" s="33" t="n">
        <v>343</v>
      </c>
      <c r="B346" s="34" t="n">
        <f aca="false">Summary!$B$5+IF(D346=1,0,IF(C346=1,Summary!$B$6,NA()))+(MATCH(1,E346:L346,0)-1)*Summary!$B$7+(MATCH(1,M346:T346,0)-1)*Summary!$B$8+(MATCH(1,U346:AB346,0)-1)*Summary!$B$9</f>
        <v>72.875</v>
      </c>
      <c r="C346" s="35" t="n">
        <v>0</v>
      </c>
      <c r="D346" s="35" t="n">
        <v>1</v>
      </c>
      <c r="E346" s="35" t="n">
        <v>0</v>
      </c>
      <c r="F346" s="35" t="n">
        <v>0</v>
      </c>
      <c r="G346" s="35" t="n">
        <v>0</v>
      </c>
      <c r="H346" s="35" t="n">
        <v>0</v>
      </c>
      <c r="I346" s="35" t="n">
        <v>0</v>
      </c>
      <c r="J346" s="35" t="n">
        <v>1</v>
      </c>
      <c r="K346" s="35" t="n">
        <v>0</v>
      </c>
      <c r="L346" s="35" t="n">
        <v>0</v>
      </c>
      <c r="M346" s="35" t="n">
        <v>0</v>
      </c>
      <c r="N346" s="35" t="n">
        <v>0</v>
      </c>
      <c r="O346" s="35" t="n">
        <v>1</v>
      </c>
      <c r="P346" s="35" t="n">
        <v>0</v>
      </c>
      <c r="Q346" s="35" t="n">
        <v>0</v>
      </c>
      <c r="R346" s="35" t="n">
        <v>0</v>
      </c>
      <c r="S346" s="35" t="n">
        <v>0</v>
      </c>
      <c r="T346" s="35" t="n">
        <v>0</v>
      </c>
      <c r="U346" s="35" t="n">
        <v>0</v>
      </c>
      <c r="V346" s="35" t="n">
        <v>0</v>
      </c>
      <c r="W346" s="35" t="n">
        <v>0</v>
      </c>
      <c r="X346" s="35" t="n">
        <v>0</v>
      </c>
      <c r="Y346" s="35" t="n">
        <v>0</v>
      </c>
      <c r="Z346" s="35" t="n">
        <v>0</v>
      </c>
      <c r="AA346" s="35" t="n">
        <v>0</v>
      </c>
      <c r="AB346" s="35" t="n">
        <v>1</v>
      </c>
      <c r="AC346" s="33" t="s">
        <v>447</v>
      </c>
      <c r="AD346" s="36" t="n">
        <f aca="false">B346-B345</f>
        <v>0.125</v>
      </c>
    </row>
    <row r="347" customFormat="false" ht="15" hidden="false" customHeight="false" outlineLevel="0" collapsed="false">
      <c r="A347" s="30" t="n">
        <v>344</v>
      </c>
      <c r="B347" s="31" t="n">
        <f aca="false">Summary!$B$5+IF(D347=1,0,IF(C347=1,Summary!$B$6,NA()))+(MATCH(1,E347:L347,0)-1)*Summary!$B$7+(MATCH(1,M347:T347,0)-1)*Summary!$B$8+(MATCH(1,U347:AB347,0)-1)*Summary!$B$9</f>
        <v>73</v>
      </c>
      <c r="C347" s="32" t="n">
        <v>0</v>
      </c>
      <c r="D347" s="32" t="n">
        <v>1</v>
      </c>
      <c r="E347" s="32" t="n">
        <v>0</v>
      </c>
      <c r="F347" s="32" t="n">
        <v>0</v>
      </c>
      <c r="G347" s="32" t="n">
        <v>0</v>
      </c>
      <c r="H347" s="32" t="n">
        <v>0</v>
      </c>
      <c r="I347" s="32" t="n">
        <v>0</v>
      </c>
      <c r="J347" s="32" t="n">
        <v>1</v>
      </c>
      <c r="K347" s="32" t="n">
        <v>0</v>
      </c>
      <c r="L347" s="32" t="n">
        <v>0</v>
      </c>
      <c r="M347" s="32" t="n">
        <v>0</v>
      </c>
      <c r="N347" s="32" t="n">
        <v>0</v>
      </c>
      <c r="O347" s="32" t="n">
        <v>0</v>
      </c>
      <c r="P347" s="32" t="n">
        <v>1</v>
      </c>
      <c r="Q347" s="32" t="n">
        <v>0</v>
      </c>
      <c r="R347" s="32" t="n">
        <v>0</v>
      </c>
      <c r="S347" s="32" t="n">
        <v>0</v>
      </c>
      <c r="T347" s="32" t="n">
        <v>0</v>
      </c>
      <c r="U347" s="32" t="n">
        <v>1</v>
      </c>
      <c r="V347" s="32" t="n">
        <v>0</v>
      </c>
      <c r="W347" s="32" t="n">
        <v>0</v>
      </c>
      <c r="X347" s="32" t="n">
        <v>0</v>
      </c>
      <c r="Y347" s="32" t="n">
        <v>0</v>
      </c>
      <c r="Z347" s="32" t="n">
        <v>0</v>
      </c>
      <c r="AA347" s="32" t="n">
        <v>0</v>
      </c>
      <c r="AB347" s="32" t="n">
        <v>0</v>
      </c>
      <c r="AC347" s="30" t="s">
        <v>448</v>
      </c>
      <c r="AD347" s="37" t="n">
        <f aca="false">B347-B346</f>
        <v>0.125</v>
      </c>
    </row>
    <row r="348" customFormat="false" ht="15" hidden="false" customHeight="false" outlineLevel="0" collapsed="false">
      <c r="A348" s="33" t="n">
        <v>345</v>
      </c>
      <c r="B348" s="34" t="n">
        <f aca="false">Summary!$B$5+IF(D348=1,0,IF(C348=1,Summary!$B$6,NA()))+(MATCH(1,E348:L348,0)-1)*Summary!$B$7+(MATCH(1,M348:T348,0)-1)*Summary!$B$8+(MATCH(1,U348:AB348,0)-1)*Summary!$B$9</f>
        <v>73.125</v>
      </c>
      <c r="C348" s="35" t="n">
        <v>0</v>
      </c>
      <c r="D348" s="35" t="n">
        <v>1</v>
      </c>
      <c r="E348" s="35" t="n">
        <v>0</v>
      </c>
      <c r="F348" s="35" t="n">
        <v>0</v>
      </c>
      <c r="G348" s="35" t="n">
        <v>0</v>
      </c>
      <c r="H348" s="35" t="n">
        <v>0</v>
      </c>
      <c r="I348" s="35" t="n">
        <v>0</v>
      </c>
      <c r="J348" s="35" t="n">
        <v>1</v>
      </c>
      <c r="K348" s="35" t="n">
        <v>0</v>
      </c>
      <c r="L348" s="35" t="n">
        <v>0</v>
      </c>
      <c r="M348" s="35" t="n">
        <v>0</v>
      </c>
      <c r="N348" s="35" t="n">
        <v>0</v>
      </c>
      <c r="O348" s="35" t="n">
        <v>0</v>
      </c>
      <c r="P348" s="35" t="n">
        <v>1</v>
      </c>
      <c r="Q348" s="35" t="n">
        <v>0</v>
      </c>
      <c r="R348" s="35" t="n">
        <v>0</v>
      </c>
      <c r="S348" s="35" t="n">
        <v>0</v>
      </c>
      <c r="T348" s="35" t="n">
        <v>0</v>
      </c>
      <c r="U348" s="35" t="n">
        <v>0</v>
      </c>
      <c r="V348" s="35" t="n">
        <v>1</v>
      </c>
      <c r="W348" s="35" t="n">
        <v>0</v>
      </c>
      <c r="X348" s="35" t="n">
        <v>0</v>
      </c>
      <c r="Y348" s="35" t="n">
        <v>0</v>
      </c>
      <c r="Z348" s="35" t="n">
        <v>0</v>
      </c>
      <c r="AA348" s="35" t="n">
        <v>0</v>
      </c>
      <c r="AB348" s="35" t="n">
        <v>0</v>
      </c>
      <c r="AC348" s="33" t="s">
        <v>449</v>
      </c>
      <c r="AD348" s="36" t="n">
        <f aca="false">B348-B347</f>
        <v>0.125</v>
      </c>
    </row>
    <row r="349" customFormat="false" ht="15" hidden="false" customHeight="false" outlineLevel="0" collapsed="false">
      <c r="A349" s="30" t="n">
        <v>346</v>
      </c>
      <c r="B349" s="31" t="n">
        <f aca="false">Summary!$B$5+IF(D349=1,0,IF(C349=1,Summary!$B$6,NA()))+(MATCH(1,E349:L349,0)-1)*Summary!$B$7+(MATCH(1,M349:T349,0)-1)*Summary!$B$8+(MATCH(1,U349:AB349,0)-1)*Summary!$B$9</f>
        <v>73.25</v>
      </c>
      <c r="C349" s="32" t="n">
        <v>0</v>
      </c>
      <c r="D349" s="32" t="n">
        <v>1</v>
      </c>
      <c r="E349" s="32" t="n">
        <v>0</v>
      </c>
      <c r="F349" s="32" t="n">
        <v>0</v>
      </c>
      <c r="G349" s="32" t="n">
        <v>0</v>
      </c>
      <c r="H349" s="32" t="n">
        <v>0</v>
      </c>
      <c r="I349" s="32" t="n">
        <v>0</v>
      </c>
      <c r="J349" s="32" t="n">
        <v>1</v>
      </c>
      <c r="K349" s="32" t="n">
        <v>0</v>
      </c>
      <c r="L349" s="32" t="n">
        <v>0</v>
      </c>
      <c r="M349" s="32" t="n">
        <v>0</v>
      </c>
      <c r="N349" s="32" t="n">
        <v>0</v>
      </c>
      <c r="O349" s="32" t="n">
        <v>0</v>
      </c>
      <c r="P349" s="32" t="n">
        <v>1</v>
      </c>
      <c r="Q349" s="32" t="n">
        <v>0</v>
      </c>
      <c r="R349" s="32" t="n">
        <v>0</v>
      </c>
      <c r="S349" s="32" t="n">
        <v>0</v>
      </c>
      <c r="T349" s="32" t="n">
        <v>0</v>
      </c>
      <c r="U349" s="32" t="n">
        <v>0</v>
      </c>
      <c r="V349" s="32" t="n">
        <v>0</v>
      </c>
      <c r="W349" s="32" t="n">
        <v>1</v>
      </c>
      <c r="X349" s="32" t="n">
        <v>0</v>
      </c>
      <c r="Y349" s="32" t="n">
        <v>0</v>
      </c>
      <c r="Z349" s="32" t="n">
        <v>0</v>
      </c>
      <c r="AA349" s="32" t="n">
        <v>0</v>
      </c>
      <c r="AB349" s="32" t="n">
        <v>0</v>
      </c>
      <c r="AC349" s="30" t="s">
        <v>450</v>
      </c>
      <c r="AD349" s="37" t="n">
        <f aca="false">B349-B348</f>
        <v>0.125</v>
      </c>
    </row>
    <row r="350" customFormat="false" ht="15" hidden="false" customHeight="false" outlineLevel="0" collapsed="false">
      <c r="A350" s="33" t="n">
        <v>347</v>
      </c>
      <c r="B350" s="34" t="n">
        <f aca="false">Summary!$B$5+IF(D350=1,0,IF(C350=1,Summary!$B$6,NA()))+(MATCH(1,E350:L350,0)-1)*Summary!$B$7+(MATCH(1,M350:T350,0)-1)*Summary!$B$8+(MATCH(1,U350:AB350,0)-1)*Summary!$B$9</f>
        <v>73.375</v>
      </c>
      <c r="C350" s="35" t="n">
        <v>0</v>
      </c>
      <c r="D350" s="35" t="n">
        <v>1</v>
      </c>
      <c r="E350" s="35" t="n">
        <v>0</v>
      </c>
      <c r="F350" s="35" t="n">
        <v>0</v>
      </c>
      <c r="G350" s="35" t="n">
        <v>0</v>
      </c>
      <c r="H350" s="35" t="n">
        <v>0</v>
      </c>
      <c r="I350" s="35" t="n">
        <v>0</v>
      </c>
      <c r="J350" s="35" t="n">
        <v>1</v>
      </c>
      <c r="K350" s="35" t="n">
        <v>0</v>
      </c>
      <c r="L350" s="35" t="n">
        <v>0</v>
      </c>
      <c r="M350" s="35" t="n">
        <v>0</v>
      </c>
      <c r="N350" s="35" t="n">
        <v>0</v>
      </c>
      <c r="O350" s="35" t="n">
        <v>0</v>
      </c>
      <c r="P350" s="35" t="n">
        <v>1</v>
      </c>
      <c r="Q350" s="35" t="n">
        <v>0</v>
      </c>
      <c r="R350" s="35" t="n">
        <v>0</v>
      </c>
      <c r="S350" s="35" t="n">
        <v>0</v>
      </c>
      <c r="T350" s="35" t="n">
        <v>0</v>
      </c>
      <c r="U350" s="35" t="n">
        <v>0</v>
      </c>
      <c r="V350" s="35" t="n">
        <v>0</v>
      </c>
      <c r="W350" s="35" t="n">
        <v>0</v>
      </c>
      <c r="X350" s="35" t="n">
        <v>1</v>
      </c>
      <c r="Y350" s="35" t="n">
        <v>0</v>
      </c>
      <c r="Z350" s="35" t="n">
        <v>0</v>
      </c>
      <c r="AA350" s="35" t="n">
        <v>0</v>
      </c>
      <c r="AB350" s="35" t="n">
        <v>0</v>
      </c>
      <c r="AC350" s="33" t="s">
        <v>451</v>
      </c>
      <c r="AD350" s="36" t="n">
        <f aca="false">B350-B349</f>
        <v>0.125</v>
      </c>
    </row>
    <row r="351" customFormat="false" ht="15" hidden="false" customHeight="false" outlineLevel="0" collapsed="false">
      <c r="A351" s="30" t="n">
        <v>348</v>
      </c>
      <c r="B351" s="31" t="n">
        <f aca="false">Summary!$B$5+IF(D351=1,0,IF(C351=1,Summary!$B$6,NA()))+(MATCH(1,E351:L351,0)-1)*Summary!$B$7+(MATCH(1,M351:T351,0)-1)*Summary!$B$8+(MATCH(1,U351:AB351,0)-1)*Summary!$B$9</f>
        <v>73.5</v>
      </c>
      <c r="C351" s="32" t="n">
        <v>0</v>
      </c>
      <c r="D351" s="32" t="n">
        <v>1</v>
      </c>
      <c r="E351" s="32" t="n">
        <v>0</v>
      </c>
      <c r="F351" s="32" t="n">
        <v>0</v>
      </c>
      <c r="G351" s="32" t="n">
        <v>0</v>
      </c>
      <c r="H351" s="32" t="n">
        <v>0</v>
      </c>
      <c r="I351" s="32" t="n">
        <v>0</v>
      </c>
      <c r="J351" s="32" t="n">
        <v>1</v>
      </c>
      <c r="K351" s="32" t="n">
        <v>0</v>
      </c>
      <c r="L351" s="32" t="n">
        <v>0</v>
      </c>
      <c r="M351" s="32" t="n">
        <v>0</v>
      </c>
      <c r="N351" s="32" t="n">
        <v>0</v>
      </c>
      <c r="O351" s="32" t="n">
        <v>0</v>
      </c>
      <c r="P351" s="32" t="n">
        <v>1</v>
      </c>
      <c r="Q351" s="32" t="n">
        <v>0</v>
      </c>
      <c r="R351" s="32" t="n">
        <v>0</v>
      </c>
      <c r="S351" s="32" t="n">
        <v>0</v>
      </c>
      <c r="T351" s="32" t="n">
        <v>0</v>
      </c>
      <c r="U351" s="32" t="n">
        <v>0</v>
      </c>
      <c r="V351" s="32" t="n">
        <v>0</v>
      </c>
      <c r="W351" s="32" t="n">
        <v>0</v>
      </c>
      <c r="X351" s="32" t="n">
        <v>0</v>
      </c>
      <c r="Y351" s="32" t="n">
        <v>1</v>
      </c>
      <c r="Z351" s="32" t="n">
        <v>0</v>
      </c>
      <c r="AA351" s="32" t="n">
        <v>0</v>
      </c>
      <c r="AB351" s="32" t="n">
        <v>0</v>
      </c>
      <c r="AC351" s="30" t="s">
        <v>452</v>
      </c>
      <c r="AD351" s="37" t="n">
        <f aca="false">B351-B350</f>
        <v>0.125</v>
      </c>
    </row>
    <row r="352" customFormat="false" ht="15" hidden="false" customHeight="false" outlineLevel="0" collapsed="false">
      <c r="A352" s="33" t="n">
        <v>349</v>
      </c>
      <c r="B352" s="34" t="n">
        <f aca="false">Summary!$B$5+IF(D352=1,0,IF(C352=1,Summary!$B$6,NA()))+(MATCH(1,E352:L352,0)-1)*Summary!$B$7+(MATCH(1,M352:T352,0)-1)*Summary!$B$8+(MATCH(1,U352:AB352,0)-1)*Summary!$B$9</f>
        <v>73.625</v>
      </c>
      <c r="C352" s="35" t="n">
        <v>0</v>
      </c>
      <c r="D352" s="35" t="n">
        <v>1</v>
      </c>
      <c r="E352" s="35" t="n">
        <v>0</v>
      </c>
      <c r="F352" s="35" t="n">
        <v>0</v>
      </c>
      <c r="G352" s="35" t="n">
        <v>0</v>
      </c>
      <c r="H352" s="35" t="n">
        <v>0</v>
      </c>
      <c r="I352" s="35" t="n">
        <v>0</v>
      </c>
      <c r="J352" s="35" t="n">
        <v>1</v>
      </c>
      <c r="K352" s="35" t="n">
        <v>0</v>
      </c>
      <c r="L352" s="35" t="n">
        <v>0</v>
      </c>
      <c r="M352" s="35" t="n">
        <v>0</v>
      </c>
      <c r="N352" s="35" t="n">
        <v>0</v>
      </c>
      <c r="O352" s="35" t="n">
        <v>0</v>
      </c>
      <c r="P352" s="35" t="n">
        <v>1</v>
      </c>
      <c r="Q352" s="35" t="n">
        <v>0</v>
      </c>
      <c r="R352" s="35" t="n">
        <v>0</v>
      </c>
      <c r="S352" s="35" t="n">
        <v>0</v>
      </c>
      <c r="T352" s="35" t="n">
        <v>0</v>
      </c>
      <c r="U352" s="35" t="n">
        <v>0</v>
      </c>
      <c r="V352" s="35" t="n">
        <v>0</v>
      </c>
      <c r="W352" s="35" t="n">
        <v>0</v>
      </c>
      <c r="X352" s="35" t="n">
        <v>0</v>
      </c>
      <c r="Y352" s="35" t="n">
        <v>0</v>
      </c>
      <c r="Z352" s="35" t="n">
        <v>1</v>
      </c>
      <c r="AA352" s="35" t="n">
        <v>0</v>
      </c>
      <c r="AB352" s="35" t="n">
        <v>0</v>
      </c>
      <c r="AC352" s="33" t="s">
        <v>453</v>
      </c>
      <c r="AD352" s="36" t="n">
        <f aca="false">B352-B351</f>
        <v>0.125</v>
      </c>
    </row>
    <row r="353" customFormat="false" ht="15" hidden="false" customHeight="false" outlineLevel="0" collapsed="false">
      <c r="A353" s="30" t="n">
        <v>350</v>
      </c>
      <c r="B353" s="31" t="n">
        <f aca="false">Summary!$B$5+IF(D353=1,0,IF(C353=1,Summary!$B$6,NA()))+(MATCH(1,E353:L353,0)-1)*Summary!$B$7+(MATCH(1,M353:T353,0)-1)*Summary!$B$8+(MATCH(1,U353:AB353,0)-1)*Summary!$B$9</f>
        <v>73.75</v>
      </c>
      <c r="C353" s="32" t="n">
        <v>0</v>
      </c>
      <c r="D353" s="32" t="n">
        <v>1</v>
      </c>
      <c r="E353" s="32" t="n">
        <v>0</v>
      </c>
      <c r="F353" s="32" t="n">
        <v>0</v>
      </c>
      <c r="G353" s="32" t="n">
        <v>0</v>
      </c>
      <c r="H353" s="32" t="n">
        <v>0</v>
      </c>
      <c r="I353" s="32" t="n">
        <v>0</v>
      </c>
      <c r="J353" s="32" t="n">
        <v>1</v>
      </c>
      <c r="K353" s="32" t="n">
        <v>0</v>
      </c>
      <c r="L353" s="32" t="n">
        <v>0</v>
      </c>
      <c r="M353" s="32" t="n">
        <v>0</v>
      </c>
      <c r="N353" s="32" t="n">
        <v>0</v>
      </c>
      <c r="O353" s="32" t="n">
        <v>0</v>
      </c>
      <c r="P353" s="32" t="n">
        <v>1</v>
      </c>
      <c r="Q353" s="32" t="n">
        <v>0</v>
      </c>
      <c r="R353" s="32" t="n">
        <v>0</v>
      </c>
      <c r="S353" s="32" t="n">
        <v>0</v>
      </c>
      <c r="T353" s="32" t="n">
        <v>0</v>
      </c>
      <c r="U353" s="32" t="n">
        <v>0</v>
      </c>
      <c r="V353" s="32" t="n">
        <v>0</v>
      </c>
      <c r="W353" s="32" t="n">
        <v>0</v>
      </c>
      <c r="X353" s="32" t="n">
        <v>0</v>
      </c>
      <c r="Y353" s="32" t="n">
        <v>0</v>
      </c>
      <c r="Z353" s="32" t="n">
        <v>0</v>
      </c>
      <c r="AA353" s="32" t="n">
        <v>1</v>
      </c>
      <c r="AB353" s="32" t="n">
        <v>0</v>
      </c>
      <c r="AC353" s="30" t="s">
        <v>454</v>
      </c>
      <c r="AD353" s="37" t="n">
        <f aca="false">B353-B352</f>
        <v>0.125</v>
      </c>
    </row>
    <row r="354" customFormat="false" ht="15" hidden="false" customHeight="false" outlineLevel="0" collapsed="false">
      <c r="A354" s="33" t="n">
        <v>351</v>
      </c>
      <c r="B354" s="34" t="n">
        <f aca="false">Summary!$B$5+IF(D354=1,0,IF(C354=1,Summary!$B$6,NA()))+(MATCH(1,E354:L354,0)-1)*Summary!$B$7+(MATCH(1,M354:T354,0)-1)*Summary!$B$8+(MATCH(1,U354:AB354,0)-1)*Summary!$B$9</f>
        <v>73.875</v>
      </c>
      <c r="C354" s="35" t="n">
        <v>0</v>
      </c>
      <c r="D354" s="35" t="n">
        <v>1</v>
      </c>
      <c r="E354" s="35" t="n">
        <v>0</v>
      </c>
      <c r="F354" s="35" t="n">
        <v>0</v>
      </c>
      <c r="G354" s="35" t="n">
        <v>0</v>
      </c>
      <c r="H354" s="35" t="n">
        <v>0</v>
      </c>
      <c r="I354" s="35" t="n">
        <v>0</v>
      </c>
      <c r="J354" s="35" t="n">
        <v>1</v>
      </c>
      <c r="K354" s="35" t="n">
        <v>0</v>
      </c>
      <c r="L354" s="35" t="n">
        <v>0</v>
      </c>
      <c r="M354" s="35" t="n">
        <v>0</v>
      </c>
      <c r="N354" s="35" t="n">
        <v>0</v>
      </c>
      <c r="O354" s="35" t="n">
        <v>0</v>
      </c>
      <c r="P354" s="35" t="n">
        <v>1</v>
      </c>
      <c r="Q354" s="35" t="n">
        <v>0</v>
      </c>
      <c r="R354" s="35" t="n">
        <v>0</v>
      </c>
      <c r="S354" s="35" t="n">
        <v>0</v>
      </c>
      <c r="T354" s="35" t="n">
        <v>0</v>
      </c>
      <c r="U354" s="35" t="n">
        <v>0</v>
      </c>
      <c r="V354" s="35" t="n">
        <v>0</v>
      </c>
      <c r="W354" s="35" t="n">
        <v>0</v>
      </c>
      <c r="X354" s="35" t="n">
        <v>0</v>
      </c>
      <c r="Y354" s="35" t="n">
        <v>0</v>
      </c>
      <c r="Z354" s="35" t="n">
        <v>0</v>
      </c>
      <c r="AA354" s="35" t="n">
        <v>0</v>
      </c>
      <c r="AB354" s="35" t="n">
        <v>1</v>
      </c>
      <c r="AC354" s="33" t="s">
        <v>455</v>
      </c>
      <c r="AD354" s="36" t="n">
        <f aca="false">B354-B353</f>
        <v>0.125</v>
      </c>
    </row>
    <row r="355" customFormat="false" ht="15" hidden="false" customHeight="false" outlineLevel="0" collapsed="false">
      <c r="A355" s="30" t="n">
        <v>352</v>
      </c>
      <c r="B355" s="31" t="n">
        <f aca="false">Summary!$B$5+IF(D355=1,0,IF(C355=1,Summary!$B$6,NA()))+(MATCH(1,E355:L355,0)-1)*Summary!$B$7+(MATCH(1,M355:T355,0)-1)*Summary!$B$8+(MATCH(1,U355:AB355,0)-1)*Summary!$B$9</f>
        <v>74</v>
      </c>
      <c r="C355" s="32" t="n">
        <v>0</v>
      </c>
      <c r="D355" s="32" t="n">
        <v>1</v>
      </c>
      <c r="E355" s="32" t="n">
        <v>0</v>
      </c>
      <c r="F355" s="32" t="n">
        <v>0</v>
      </c>
      <c r="G355" s="32" t="n">
        <v>0</v>
      </c>
      <c r="H355" s="32" t="n">
        <v>0</v>
      </c>
      <c r="I355" s="32" t="n">
        <v>0</v>
      </c>
      <c r="J355" s="32" t="n">
        <v>1</v>
      </c>
      <c r="K355" s="32" t="n">
        <v>0</v>
      </c>
      <c r="L355" s="32" t="n">
        <v>0</v>
      </c>
      <c r="M355" s="32" t="n">
        <v>0</v>
      </c>
      <c r="N355" s="32" t="n">
        <v>0</v>
      </c>
      <c r="O355" s="32" t="n">
        <v>0</v>
      </c>
      <c r="P355" s="32" t="n">
        <v>0</v>
      </c>
      <c r="Q355" s="32" t="n">
        <v>1</v>
      </c>
      <c r="R355" s="32" t="n">
        <v>0</v>
      </c>
      <c r="S355" s="32" t="n">
        <v>0</v>
      </c>
      <c r="T355" s="32" t="n">
        <v>0</v>
      </c>
      <c r="U355" s="32" t="n">
        <v>1</v>
      </c>
      <c r="V355" s="32" t="n">
        <v>0</v>
      </c>
      <c r="W355" s="32" t="n">
        <v>0</v>
      </c>
      <c r="X355" s="32" t="n">
        <v>0</v>
      </c>
      <c r="Y355" s="32" t="n">
        <v>0</v>
      </c>
      <c r="Z355" s="32" t="n">
        <v>0</v>
      </c>
      <c r="AA355" s="32" t="n">
        <v>0</v>
      </c>
      <c r="AB355" s="32" t="n">
        <v>0</v>
      </c>
      <c r="AC355" s="30" t="s">
        <v>456</v>
      </c>
      <c r="AD355" s="37" t="n">
        <f aca="false">B355-B354</f>
        <v>0.125</v>
      </c>
    </row>
    <row r="356" customFormat="false" ht="15" hidden="false" customHeight="false" outlineLevel="0" collapsed="false">
      <c r="A356" s="33" t="n">
        <v>353</v>
      </c>
      <c r="B356" s="34" t="n">
        <f aca="false">Summary!$B$5+IF(D356=1,0,IF(C356=1,Summary!$B$6,NA()))+(MATCH(1,E356:L356,0)-1)*Summary!$B$7+(MATCH(1,M356:T356,0)-1)*Summary!$B$8+(MATCH(1,U356:AB356,0)-1)*Summary!$B$9</f>
        <v>74.125</v>
      </c>
      <c r="C356" s="35" t="n">
        <v>0</v>
      </c>
      <c r="D356" s="35" t="n">
        <v>1</v>
      </c>
      <c r="E356" s="35" t="n">
        <v>0</v>
      </c>
      <c r="F356" s="35" t="n">
        <v>0</v>
      </c>
      <c r="G356" s="35" t="n">
        <v>0</v>
      </c>
      <c r="H356" s="35" t="n">
        <v>0</v>
      </c>
      <c r="I356" s="35" t="n">
        <v>0</v>
      </c>
      <c r="J356" s="35" t="n">
        <v>1</v>
      </c>
      <c r="K356" s="35" t="n">
        <v>0</v>
      </c>
      <c r="L356" s="35" t="n">
        <v>0</v>
      </c>
      <c r="M356" s="35" t="n">
        <v>0</v>
      </c>
      <c r="N356" s="35" t="n">
        <v>0</v>
      </c>
      <c r="O356" s="35" t="n">
        <v>0</v>
      </c>
      <c r="P356" s="35" t="n">
        <v>0</v>
      </c>
      <c r="Q356" s="35" t="n">
        <v>1</v>
      </c>
      <c r="R356" s="35" t="n">
        <v>0</v>
      </c>
      <c r="S356" s="35" t="n">
        <v>0</v>
      </c>
      <c r="T356" s="35" t="n">
        <v>0</v>
      </c>
      <c r="U356" s="35" t="n">
        <v>0</v>
      </c>
      <c r="V356" s="35" t="n">
        <v>1</v>
      </c>
      <c r="W356" s="35" t="n">
        <v>0</v>
      </c>
      <c r="X356" s="35" t="n">
        <v>0</v>
      </c>
      <c r="Y356" s="35" t="n">
        <v>0</v>
      </c>
      <c r="Z356" s="35" t="n">
        <v>0</v>
      </c>
      <c r="AA356" s="35" t="n">
        <v>0</v>
      </c>
      <c r="AB356" s="35" t="n">
        <v>0</v>
      </c>
      <c r="AC356" s="33" t="s">
        <v>457</v>
      </c>
      <c r="AD356" s="36" t="n">
        <f aca="false">B356-B355</f>
        <v>0.125</v>
      </c>
    </row>
    <row r="357" customFormat="false" ht="15" hidden="false" customHeight="false" outlineLevel="0" collapsed="false">
      <c r="A357" s="30" t="n">
        <v>354</v>
      </c>
      <c r="B357" s="31" t="n">
        <f aca="false">Summary!$B$5+IF(D357=1,0,IF(C357=1,Summary!$B$6,NA()))+(MATCH(1,E357:L357,0)-1)*Summary!$B$7+(MATCH(1,M357:T357,0)-1)*Summary!$B$8+(MATCH(1,U357:AB357,0)-1)*Summary!$B$9</f>
        <v>74.25</v>
      </c>
      <c r="C357" s="32" t="n">
        <v>0</v>
      </c>
      <c r="D357" s="32" t="n">
        <v>1</v>
      </c>
      <c r="E357" s="32" t="n">
        <v>0</v>
      </c>
      <c r="F357" s="32" t="n">
        <v>0</v>
      </c>
      <c r="G357" s="32" t="n">
        <v>0</v>
      </c>
      <c r="H357" s="32" t="n">
        <v>0</v>
      </c>
      <c r="I357" s="32" t="n">
        <v>0</v>
      </c>
      <c r="J357" s="32" t="n">
        <v>1</v>
      </c>
      <c r="K357" s="32" t="n">
        <v>0</v>
      </c>
      <c r="L357" s="32" t="n">
        <v>0</v>
      </c>
      <c r="M357" s="32" t="n">
        <v>0</v>
      </c>
      <c r="N357" s="32" t="n">
        <v>0</v>
      </c>
      <c r="O357" s="32" t="n">
        <v>0</v>
      </c>
      <c r="P357" s="32" t="n">
        <v>0</v>
      </c>
      <c r="Q357" s="32" t="n">
        <v>1</v>
      </c>
      <c r="R357" s="32" t="n">
        <v>0</v>
      </c>
      <c r="S357" s="32" t="n">
        <v>0</v>
      </c>
      <c r="T357" s="32" t="n">
        <v>0</v>
      </c>
      <c r="U357" s="32" t="n">
        <v>0</v>
      </c>
      <c r="V357" s="32" t="n">
        <v>0</v>
      </c>
      <c r="W357" s="32" t="n">
        <v>1</v>
      </c>
      <c r="X357" s="32" t="n">
        <v>0</v>
      </c>
      <c r="Y357" s="32" t="n">
        <v>0</v>
      </c>
      <c r="Z357" s="32" t="n">
        <v>0</v>
      </c>
      <c r="AA357" s="32" t="n">
        <v>0</v>
      </c>
      <c r="AB357" s="32" t="n">
        <v>0</v>
      </c>
      <c r="AC357" s="30" t="s">
        <v>458</v>
      </c>
      <c r="AD357" s="37" t="n">
        <f aca="false">B357-B356</f>
        <v>0.125</v>
      </c>
    </row>
    <row r="358" customFormat="false" ht="15" hidden="false" customHeight="false" outlineLevel="0" collapsed="false">
      <c r="A358" s="33" t="n">
        <v>355</v>
      </c>
      <c r="B358" s="34" t="n">
        <f aca="false">Summary!$B$5+IF(D358=1,0,IF(C358=1,Summary!$B$6,NA()))+(MATCH(1,E358:L358,0)-1)*Summary!$B$7+(MATCH(1,M358:T358,0)-1)*Summary!$B$8+(MATCH(1,U358:AB358,0)-1)*Summary!$B$9</f>
        <v>74.375</v>
      </c>
      <c r="C358" s="35" t="n">
        <v>0</v>
      </c>
      <c r="D358" s="35" t="n">
        <v>1</v>
      </c>
      <c r="E358" s="35" t="n">
        <v>0</v>
      </c>
      <c r="F358" s="35" t="n">
        <v>0</v>
      </c>
      <c r="G358" s="35" t="n">
        <v>0</v>
      </c>
      <c r="H358" s="35" t="n">
        <v>0</v>
      </c>
      <c r="I358" s="35" t="n">
        <v>0</v>
      </c>
      <c r="J358" s="35" t="n">
        <v>1</v>
      </c>
      <c r="K358" s="35" t="n">
        <v>0</v>
      </c>
      <c r="L358" s="35" t="n">
        <v>0</v>
      </c>
      <c r="M358" s="35" t="n">
        <v>0</v>
      </c>
      <c r="N358" s="35" t="n">
        <v>0</v>
      </c>
      <c r="O358" s="35" t="n">
        <v>0</v>
      </c>
      <c r="P358" s="35" t="n">
        <v>0</v>
      </c>
      <c r="Q358" s="35" t="n">
        <v>1</v>
      </c>
      <c r="R358" s="35" t="n">
        <v>0</v>
      </c>
      <c r="S358" s="35" t="n">
        <v>0</v>
      </c>
      <c r="T358" s="35" t="n">
        <v>0</v>
      </c>
      <c r="U358" s="35" t="n">
        <v>0</v>
      </c>
      <c r="V358" s="35" t="n">
        <v>0</v>
      </c>
      <c r="W358" s="35" t="n">
        <v>0</v>
      </c>
      <c r="X358" s="35" t="n">
        <v>1</v>
      </c>
      <c r="Y358" s="35" t="n">
        <v>0</v>
      </c>
      <c r="Z358" s="35" t="n">
        <v>0</v>
      </c>
      <c r="AA358" s="35" t="n">
        <v>0</v>
      </c>
      <c r="AB358" s="35" t="n">
        <v>0</v>
      </c>
      <c r="AC358" s="33" t="s">
        <v>459</v>
      </c>
      <c r="AD358" s="36" t="n">
        <f aca="false">B358-B357</f>
        <v>0.125</v>
      </c>
    </row>
    <row r="359" customFormat="false" ht="15" hidden="false" customHeight="false" outlineLevel="0" collapsed="false">
      <c r="A359" s="30" t="n">
        <v>356</v>
      </c>
      <c r="B359" s="31" t="n">
        <f aca="false">Summary!$B$5+IF(D359=1,0,IF(C359=1,Summary!$B$6,NA()))+(MATCH(1,E359:L359,0)-1)*Summary!$B$7+(MATCH(1,M359:T359,0)-1)*Summary!$B$8+(MATCH(1,U359:AB359,0)-1)*Summary!$B$9</f>
        <v>74.5</v>
      </c>
      <c r="C359" s="32" t="n">
        <v>0</v>
      </c>
      <c r="D359" s="32" t="n">
        <v>1</v>
      </c>
      <c r="E359" s="32" t="n">
        <v>0</v>
      </c>
      <c r="F359" s="32" t="n">
        <v>0</v>
      </c>
      <c r="G359" s="32" t="n">
        <v>0</v>
      </c>
      <c r="H359" s="32" t="n">
        <v>0</v>
      </c>
      <c r="I359" s="32" t="n">
        <v>0</v>
      </c>
      <c r="J359" s="32" t="n">
        <v>1</v>
      </c>
      <c r="K359" s="32" t="n">
        <v>0</v>
      </c>
      <c r="L359" s="32" t="n">
        <v>0</v>
      </c>
      <c r="M359" s="32" t="n">
        <v>0</v>
      </c>
      <c r="N359" s="32" t="n">
        <v>0</v>
      </c>
      <c r="O359" s="32" t="n">
        <v>0</v>
      </c>
      <c r="P359" s="32" t="n">
        <v>0</v>
      </c>
      <c r="Q359" s="32" t="n">
        <v>1</v>
      </c>
      <c r="R359" s="32" t="n">
        <v>0</v>
      </c>
      <c r="S359" s="32" t="n">
        <v>0</v>
      </c>
      <c r="T359" s="32" t="n">
        <v>0</v>
      </c>
      <c r="U359" s="32" t="n">
        <v>0</v>
      </c>
      <c r="V359" s="32" t="n">
        <v>0</v>
      </c>
      <c r="W359" s="32" t="n">
        <v>0</v>
      </c>
      <c r="X359" s="32" t="n">
        <v>0</v>
      </c>
      <c r="Y359" s="32" t="n">
        <v>1</v>
      </c>
      <c r="Z359" s="32" t="n">
        <v>0</v>
      </c>
      <c r="AA359" s="32" t="n">
        <v>0</v>
      </c>
      <c r="AB359" s="32" t="n">
        <v>0</v>
      </c>
      <c r="AC359" s="30" t="s">
        <v>460</v>
      </c>
      <c r="AD359" s="37" t="n">
        <f aca="false">B359-B358</f>
        <v>0.125</v>
      </c>
    </row>
    <row r="360" customFormat="false" ht="15" hidden="false" customHeight="false" outlineLevel="0" collapsed="false">
      <c r="A360" s="33" t="n">
        <v>357</v>
      </c>
      <c r="B360" s="34" t="n">
        <f aca="false">Summary!$B$5+IF(D360=1,0,IF(C360=1,Summary!$B$6,NA()))+(MATCH(1,E360:L360,0)-1)*Summary!$B$7+(MATCH(1,M360:T360,0)-1)*Summary!$B$8+(MATCH(1,U360:AB360,0)-1)*Summary!$B$9</f>
        <v>74.625</v>
      </c>
      <c r="C360" s="35" t="n">
        <v>0</v>
      </c>
      <c r="D360" s="35" t="n">
        <v>1</v>
      </c>
      <c r="E360" s="35" t="n">
        <v>0</v>
      </c>
      <c r="F360" s="35" t="n">
        <v>0</v>
      </c>
      <c r="G360" s="35" t="n">
        <v>0</v>
      </c>
      <c r="H360" s="35" t="n">
        <v>0</v>
      </c>
      <c r="I360" s="35" t="n">
        <v>0</v>
      </c>
      <c r="J360" s="35" t="n">
        <v>1</v>
      </c>
      <c r="K360" s="35" t="n">
        <v>0</v>
      </c>
      <c r="L360" s="35" t="n">
        <v>0</v>
      </c>
      <c r="M360" s="35" t="n">
        <v>0</v>
      </c>
      <c r="N360" s="35" t="n">
        <v>0</v>
      </c>
      <c r="O360" s="35" t="n">
        <v>0</v>
      </c>
      <c r="P360" s="35" t="n">
        <v>0</v>
      </c>
      <c r="Q360" s="35" t="n">
        <v>1</v>
      </c>
      <c r="R360" s="35" t="n">
        <v>0</v>
      </c>
      <c r="S360" s="35" t="n">
        <v>0</v>
      </c>
      <c r="T360" s="35" t="n">
        <v>0</v>
      </c>
      <c r="U360" s="35" t="n">
        <v>0</v>
      </c>
      <c r="V360" s="35" t="n">
        <v>0</v>
      </c>
      <c r="W360" s="35" t="n">
        <v>0</v>
      </c>
      <c r="X360" s="35" t="n">
        <v>0</v>
      </c>
      <c r="Y360" s="35" t="n">
        <v>0</v>
      </c>
      <c r="Z360" s="35" t="n">
        <v>1</v>
      </c>
      <c r="AA360" s="35" t="n">
        <v>0</v>
      </c>
      <c r="AB360" s="35" t="n">
        <v>0</v>
      </c>
      <c r="AC360" s="33" t="s">
        <v>461</v>
      </c>
      <c r="AD360" s="36" t="n">
        <f aca="false">B360-B359</f>
        <v>0.125</v>
      </c>
    </row>
    <row r="361" customFormat="false" ht="15" hidden="false" customHeight="false" outlineLevel="0" collapsed="false">
      <c r="A361" s="30" t="n">
        <v>358</v>
      </c>
      <c r="B361" s="31" t="n">
        <f aca="false">Summary!$B$5+IF(D361=1,0,IF(C361=1,Summary!$B$6,NA()))+(MATCH(1,E361:L361,0)-1)*Summary!$B$7+(MATCH(1,M361:T361,0)-1)*Summary!$B$8+(MATCH(1,U361:AB361,0)-1)*Summary!$B$9</f>
        <v>74.75</v>
      </c>
      <c r="C361" s="32" t="n">
        <v>0</v>
      </c>
      <c r="D361" s="32" t="n">
        <v>1</v>
      </c>
      <c r="E361" s="32" t="n">
        <v>0</v>
      </c>
      <c r="F361" s="32" t="n">
        <v>0</v>
      </c>
      <c r="G361" s="32" t="n">
        <v>0</v>
      </c>
      <c r="H361" s="32" t="n">
        <v>0</v>
      </c>
      <c r="I361" s="32" t="n">
        <v>0</v>
      </c>
      <c r="J361" s="32" t="n">
        <v>1</v>
      </c>
      <c r="K361" s="32" t="n">
        <v>0</v>
      </c>
      <c r="L361" s="32" t="n">
        <v>0</v>
      </c>
      <c r="M361" s="32" t="n">
        <v>0</v>
      </c>
      <c r="N361" s="32" t="n">
        <v>0</v>
      </c>
      <c r="O361" s="32" t="n">
        <v>0</v>
      </c>
      <c r="P361" s="32" t="n">
        <v>0</v>
      </c>
      <c r="Q361" s="32" t="n">
        <v>1</v>
      </c>
      <c r="R361" s="32" t="n">
        <v>0</v>
      </c>
      <c r="S361" s="32" t="n">
        <v>0</v>
      </c>
      <c r="T361" s="32" t="n">
        <v>0</v>
      </c>
      <c r="U361" s="32" t="n">
        <v>0</v>
      </c>
      <c r="V361" s="32" t="n">
        <v>0</v>
      </c>
      <c r="W361" s="32" t="n">
        <v>0</v>
      </c>
      <c r="X361" s="32" t="n">
        <v>0</v>
      </c>
      <c r="Y361" s="32" t="n">
        <v>0</v>
      </c>
      <c r="Z361" s="32" t="n">
        <v>0</v>
      </c>
      <c r="AA361" s="32" t="n">
        <v>1</v>
      </c>
      <c r="AB361" s="32" t="n">
        <v>0</v>
      </c>
      <c r="AC361" s="30" t="s">
        <v>462</v>
      </c>
      <c r="AD361" s="37" t="n">
        <f aca="false">B361-B360</f>
        <v>0.125</v>
      </c>
    </row>
    <row r="362" customFormat="false" ht="15" hidden="false" customHeight="false" outlineLevel="0" collapsed="false">
      <c r="A362" s="33" t="n">
        <v>359</v>
      </c>
      <c r="B362" s="34" t="n">
        <f aca="false">Summary!$B$5+IF(D362=1,0,IF(C362=1,Summary!$B$6,NA()))+(MATCH(1,E362:L362,0)-1)*Summary!$B$7+(MATCH(1,M362:T362,0)-1)*Summary!$B$8+(MATCH(1,U362:AB362,0)-1)*Summary!$B$9</f>
        <v>74.875</v>
      </c>
      <c r="C362" s="35" t="n">
        <v>0</v>
      </c>
      <c r="D362" s="35" t="n">
        <v>1</v>
      </c>
      <c r="E362" s="35" t="n">
        <v>0</v>
      </c>
      <c r="F362" s="35" t="n">
        <v>0</v>
      </c>
      <c r="G362" s="35" t="n">
        <v>0</v>
      </c>
      <c r="H362" s="35" t="n">
        <v>0</v>
      </c>
      <c r="I362" s="35" t="n">
        <v>0</v>
      </c>
      <c r="J362" s="35" t="n">
        <v>1</v>
      </c>
      <c r="K362" s="35" t="n">
        <v>0</v>
      </c>
      <c r="L362" s="35" t="n">
        <v>0</v>
      </c>
      <c r="M362" s="35" t="n">
        <v>0</v>
      </c>
      <c r="N362" s="35" t="n">
        <v>0</v>
      </c>
      <c r="O362" s="35" t="n">
        <v>0</v>
      </c>
      <c r="P362" s="35" t="n">
        <v>0</v>
      </c>
      <c r="Q362" s="35" t="n">
        <v>1</v>
      </c>
      <c r="R362" s="35" t="n">
        <v>0</v>
      </c>
      <c r="S362" s="35" t="n">
        <v>0</v>
      </c>
      <c r="T362" s="35" t="n">
        <v>0</v>
      </c>
      <c r="U362" s="35" t="n">
        <v>0</v>
      </c>
      <c r="V362" s="35" t="n">
        <v>0</v>
      </c>
      <c r="W362" s="35" t="n">
        <v>0</v>
      </c>
      <c r="X362" s="35" t="n">
        <v>0</v>
      </c>
      <c r="Y362" s="35" t="n">
        <v>0</v>
      </c>
      <c r="Z362" s="35" t="n">
        <v>0</v>
      </c>
      <c r="AA362" s="35" t="n">
        <v>0</v>
      </c>
      <c r="AB362" s="35" t="n">
        <v>1</v>
      </c>
      <c r="AC362" s="33" t="s">
        <v>463</v>
      </c>
      <c r="AD362" s="36" t="n">
        <f aca="false">B362-B361</f>
        <v>0.125</v>
      </c>
    </row>
    <row r="363" customFormat="false" ht="15" hidden="false" customHeight="false" outlineLevel="0" collapsed="false">
      <c r="A363" s="30" t="n">
        <v>360</v>
      </c>
      <c r="B363" s="31" t="n">
        <f aca="false">Summary!$B$5+IF(D363=1,0,IF(C363=1,Summary!$B$6,NA()))+(MATCH(1,E363:L363,0)-1)*Summary!$B$7+(MATCH(1,M363:T363,0)-1)*Summary!$B$8+(MATCH(1,U363:AB363,0)-1)*Summary!$B$9</f>
        <v>75</v>
      </c>
      <c r="C363" s="32" t="n">
        <v>0</v>
      </c>
      <c r="D363" s="32" t="n">
        <v>1</v>
      </c>
      <c r="E363" s="32" t="n">
        <v>0</v>
      </c>
      <c r="F363" s="32" t="n">
        <v>0</v>
      </c>
      <c r="G363" s="32" t="n">
        <v>0</v>
      </c>
      <c r="H363" s="32" t="n">
        <v>0</v>
      </c>
      <c r="I363" s="32" t="n">
        <v>0</v>
      </c>
      <c r="J363" s="32" t="n">
        <v>1</v>
      </c>
      <c r="K363" s="32" t="n">
        <v>0</v>
      </c>
      <c r="L363" s="32" t="n">
        <v>0</v>
      </c>
      <c r="M363" s="32" t="n">
        <v>0</v>
      </c>
      <c r="N363" s="32" t="n">
        <v>0</v>
      </c>
      <c r="O363" s="32" t="n">
        <v>0</v>
      </c>
      <c r="P363" s="32" t="n">
        <v>0</v>
      </c>
      <c r="Q363" s="32" t="n">
        <v>0</v>
      </c>
      <c r="R363" s="32" t="n">
        <v>1</v>
      </c>
      <c r="S363" s="32" t="n">
        <v>0</v>
      </c>
      <c r="T363" s="32" t="n">
        <v>0</v>
      </c>
      <c r="U363" s="32" t="n">
        <v>1</v>
      </c>
      <c r="V363" s="32" t="n">
        <v>0</v>
      </c>
      <c r="W363" s="32" t="n">
        <v>0</v>
      </c>
      <c r="X363" s="32" t="n">
        <v>0</v>
      </c>
      <c r="Y363" s="32" t="n">
        <v>0</v>
      </c>
      <c r="Z363" s="32" t="n">
        <v>0</v>
      </c>
      <c r="AA363" s="32" t="n">
        <v>0</v>
      </c>
      <c r="AB363" s="32" t="n">
        <v>0</v>
      </c>
      <c r="AC363" s="30" t="s">
        <v>464</v>
      </c>
      <c r="AD363" s="37" t="n">
        <f aca="false">B363-B362</f>
        <v>0.125</v>
      </c>
    </row>
    <row r="364" customFormat="false" ht="15" hidden="false" customHeight="false" outlineLevel="0" collapsed="false">
      <c r="A364" s="33" t="n">
        <v>361</v>
      </c>
      <c r="B364" s="34" t="n">
        <f aca="false">Summary!$B$5+IF(D364=1,0,IF(C364=1,Summary!$B$6,NA()))+(MATCH(1,E364:L364,0)-1)*Summary!$B$7+(MATCH(1,M364:T364,0)-1)*Summary!$B$8+(MATCH(1,U364:AB364,0)-1)*Summary!$B$9</f>
        <v>75.125</v>
      </c>
      <c r="C364" s="35" t="n">
        <v>0</v>
      </c>
      <c r="D364" s="35" t="n">
        <v>1</v>
      </c>
      <c r="E364" s="35" t="n">
        <v>0</v>
      </c>
      <c r="F364" s="35" t="n">
        <v>0</v>
      </c>
      <c r="G364" s="35" t="n">
        <v>0</v>
      </c>
      <c r="H364" s="35" t="n">
        <v>0</v>
      </c>
      <c r="I364" s="35" t="n">
        <v>0</v>
      </c>
      <c r="J364" s="35" t="n">
        <v>1</v>
      </c>
      <c r="K364" s="35" t="n">
        <v>0</v>
      </c>
      <c r="L364" s="35" t="n">
        <v>0</v>
      </c>
      <c r="M364" s="35" t="n">
        <v>0</v>
      </c>
      <c r="N364" s="35" t="n">
        <v>0</v>
      </c>
      <c r="O364" s="35" t="n">
        <v>0</v>
      </c>
      <c r="P364" s="35" t="n">
        <v>0</v>
      </c>
      <c r="Q364" s="35" t="n">
        <v>0</v>
      </c>
      <c r="R364" s="35" t="n">
        <v>1</v>
      </c>
      <c r="S364" s="35" t="n">
        <v>0</v>
      </c>
      <c r="T364" s="35" t="n">
        <v>0</v>
      </c>
      <c r="U364" s="35" t="n">
        <v>0</v>
      </c>
      <c r="V364" s="35" t="n">
        <v>1</v>
      </c>
      <c r="W364" s="35" t="n">
        <v>0</v>
      </c>
      <c r="X364" s="35" t="n">
        <v>0</v>
      </c>
      <c r="Y364" s="35" t="n">
        <v>0</v>
      </c>
      <c r="Z364" s="35" t="n">
        <v>0</v>
      </c>
      <c r="AA364" s="35" t="n">
        <v>0</v>
      </c>
      <c r="AB364" s="35" t="n">
        <v>0</v>
      </c>
      <c r="AC364" s="33" t="s">
        <v>465</v>
      </c>
      <c r="AD364" s="36" t="n">
        <f aca="false">B364-B363</f>
        <v>0.125</v>
      </c>
    </row>
    <row r="365" customFormat="false" ht="15" hidden="false" customHeight="false" outlineLevel="0" collapsed="false">
      <c r="A365" s="30" t="n">
        <v>362</v>
      </c>
      <c r="B365" s="31" t="n">
        <f aca="false">Summary!$B$5+IF(D365=1,0,IF(C365=1,Summary!$B$6,NA()))+(MATCH(1,E365:L365,0)-1)*Summary!$B$7+(MATCH(1,M365:T365,0)-1)*Summary!$B$8+(MATCH(1,U365:AB365,0)-1)*Summary!$B$9</f>
        <v>75.25</v>
      </c>
      <c r="C365" s="32" t="n">
        <v>0</v>
      </c>
      <c r="D365" s="32" t="n">
        <v>1</v>
      </c>
      <c r="E365" s="32" t="n">
        <v>0</v>
      </c>
      <c r="F365" s="32" t="n">
        <v>0</v>
      </c>
      <c r="G365" s="32" t="n">
        <v>0</v>
      </c>
      <c r="H365" s="32" t="n">
        <v>0</v>
      </c>
      <c r="I365" s="32" t="n">
        <v>0</v>
      </c>
      <c r="J365" s="32" t="n">
        <v>1</v>
      </c>
      <c r="K365" s="32" t="n">
        <v>0</v>
      </c>
      <c r="L365" s="32" t="n">
        <v>0</v>
      </c>
      <c r="M365" s="32" t="n">
        <v>0</v>
      </c>
      <c r="N365" s="32" t="n">
        <v>0</v>
      </c>
      <c r="O365" s="32" t="n">
        <v>0</v>
      </c>
      <c r="P365" s="32" t="n">
        <v>0</v>
      </c>
      <c r="Q365" s="32" t="n">
        <v>0</v>
      </c>
      <c r="R365" s="32" t="n">
        <v>1</v>
      </c>
      <c r="S365" s="32" t="n">
        <v>0</v>
      </c>
      <c r="T365" s="32" t="n">
        <v>0</v>
      </c>
      <c r="U365" s="32" t="n">
        <v>0</v>
      </c>
      <c r="V365" s="32" t="n">
        <v>0</v>
      </c>
      <c r="W365" s="32" t="n">
        <v>1</v>
      </c>
      <c r="X365" s="32" t="n">
        <v>0</v>
      </c>
      <c r="Y365" s="32" t="n">
        <v>0</v>
      </c>
      <c r="Z365" s="32" t="n">
        <v>0</v>
      </c>
      <c r="AA365" s="32" t="n">
        <v>0</v>
      </c>
      <c r="AB365" s="32" t="n">
        <v>0</v>
      </c>
      <c r="AC365" s="30" t="s">
        <v>466</v>
      </c>
      <c r="AD365" s="37" t="n">
        <f aca="false">B365-B364</f>
        <v>0.125</v>
      </c>
    </row>
    <row r="366" customFormat="false" ht="15" hidden="false" customHeight="false" outlineLevel="0" collapsed="false">
      <c r="A366" s="33" t="n">
        <v>363</v>
      </c>
      <c r="B366" s="34" t="n">
        <f aca="false">Summary!$B$5+IF(D366=1,0,IF(C366=1,Summary!$B$6,NA()))+(MATCH(1,E366:L366,0)-1)*Summary!$B$7+(MATCH(1,M366:T366,0)-1)*Summary!$B$8+(MATCH(1,U366:AB366,0)-1)*Summary!$B$9</f>
        <v>75.375</v>
      </c>
      <c r="C366" s="35" t="n">
        <v>0</v>
      </c>
      <c r="D366" s="35" t="n">
        <v>1</v>
      </c>
      <c r="E366" s="35" t="n">
        <v>0</v>
      </c>
      <c r="F366" s="35" t="n">
        <v>0</v>
      </c>
      <c r="G366" s="35" t="n">
        <v>0</v>
      </c>
      <c r="H366" s="35" t="n">
        <v>0</v>
      </c>
      <c r="I366" s="35" t="n">
        <v>0</v>
      </c>
      <c r="J366" s="35" t="n">
        <v>1</v>
      </c>
      <c r="K366" s="35" t="n">
        <v>0</v>
      </c>
      <c r="L366" s="35" t="n">
        <v>0</v>
      </c>
      <c r="M366" s="35" t="n">
        <v>0</v>
      </c>
      <c r="N366" s="35" t="n">
        <v>0</v>
      </c>
      <c r="O366" s="35" t="n">
        <v>0</v>
      </c>
      <c r="P366" s="35" t="n">
        <v>0</v>
      </c>
      <c r="Q366" s="35" t="n">
        <v>0</v>
      </c>
      <c r="R366" s="35" t="n">
        <v>1</v>
      </c>
      <c r="S366" s="35" t="n">
        <v>0</v>
      </c>
      <c r="T366" s="35" t="n">
        <v>0</v>
      </c>
      <c r="U366" s="35" t="n">
        <v>0</v>
      </c>
      <c r="V366" s="35" t="n">
        <v>0</v>
      </c>
      <c r="W366" s="35" t="n">
        <v>0</v>
      </c>
      <c r="X366" s="35" t="n">
        <v>1</v>
      </c>
      <c r="Y366" s="35" t="n">
        <v>0</v>
      </c>
      <c r="Z366" s="35" t="n">
        <v>0</v>
      </c>
      <c r="AA366" s="35" t="n">
        <v>0</v>
      </c>
      <c r="AB366" s="35" t="n">
        <v>0</v>
      </c>
      <c r="AC366" s="33" t="s">
        <v>467</v>
      </c>
      <c r="AD366" s="36" t="n">
        <f aca="false">B366-B365</f>
        <v>0.125</v>
      </c>
    </row>
    <row r="367" customFormat="false" ht="15" hidden="false" customHeight="false" outlineLevel="0" collapsed="false">
      <c r="A367" s="30" t="n">
        <v>364</v>
      </c>
      <c r="B367" s="31" t="n">
        <f aca="false">Summary!$B$5+IF(D367=1,0,IF(C367=1,Summary!$B$6,NA()))+(MATCH(1,E367:L367,0)-1)*Summary!$B$7+(MATCH(1,M367:T367,0)-1)*Summary!$B$8+(MATCH(1,U367:AB367,0)-1)*Summary!$B$9</f>
        <v>75.5</v>
      </c>
      <c r="C367" s="32" t="n">
        <v>0</v>
      </c>
      <c r="D367" s="32" t="n">
        <v>1</v>
      </c>
      <c r="E367" s="32" t="n">
        <v>0</v>
      </c>
      <c r="F367" s="32" t="n">
        <v>0</v>
      </c>
      <c r="G367" s="32" t="n">
        <v>0</v>
      </c>
      <c r="H367" s="32" t="n">
        <v>0</v>
      </c>
      <c r="I367" s="32" t="n">
        <v>0</v>
      </c>
      <c r="J367" s="32" t="n">
        <v>1</v>
      </c>
      <c r="K367" s="32" t="n">
        <v>0</v>
      </c>
      <c r="L367" s="32" t="n">
        <v>0</v>
      </c>
      <c r="M367" s="32" t="n">
        <v>0</v>
      </c>
      <c r="N367" s="32" t="n">
        <v>0</v>
      </c>
      <c r="O367" s="32" t="n">
        <v>0</v>
      </c>
      <c r="P367" s="32" t="n">
        <v>0</v>
      </c>
      <c r="Q367" s="32" t="n">
        <v>0</v>
      </c>
      <c r="R367" s="32" t="n">
        <v>1</v>
      </c>
      <c r="S367" s="32" t="n">
        <v>0</v>
      </c>
      <c r="T367" s="32" t="n">
        <v>0</v>
      </c>
      <c r="U367" s="32" t="n">
        <v>0</v>
      </c>
      <c r="V367" s="32" t="n">
        <v>0</v>
      </c>
      <c r="W367" s="32" t="n">
        <v>0</v>
      </c>
      <c r="X367" s="32" t="n">
        <v>0</v>
      </c>
      <c r="Y367" s="32" t="n">
        <v>1</v>
      </c>
      <c r="Z367" s="32" t="n">
        <v>0</v>
      </c>
      <c r="AA367" s="32" t="n">
        <v>0</v>
      </c>
      <c r="AB367" s="32" t="n">
        <v>0</v>
      </c>
      <c r="AC367" s="30" t="s">
        <v>468</v>
      </c>
      <c r="AD367" s="37" t="n">
        <f aca="false">B367-B366</f>
        <v>0.125</v>
      </c>
    </row>
    <row r="368" customFormat="false" ht="15" hidden="false" customHeight="false" outlineLevel="0" collapsed="false">
      <c r="A368" s="33" t="n">
        <v>365</v>
      </c>
      <c r="B368" s="34" t="n">
        <f aca="false">Summary!$B$5+IF(D368=1,0,IF(C368=1,Summary!$B$6,NA()))+(MATCH(1,E368:L368,0)-1)*Summary!$B$7+(MATCH(1,M368:T368,0)-1)*Summary!$B$8+(MATCH(1,U368:AB368,0)-1)*Summary!$B$9</f>
        <v>75.625</v>
      </c>
      <c r="C368" s="35" t="n">
        <v>0</v>
      </c>
      <c r="D368" s="35" t="n">
        <v>1</v>
      </c>
      <c r="E368" s="35" t="n">
        <v>0</v>
      </c>
      <c r="F368" s="35" t="n">
        <v>0</v>
      </c>
      <c r="G368" s="35" t="n">
        <v>0</v>
      </c>
      <c r="H368" s="35" t="n">
        <v>0</v>
      </c>
      <c r="I368" s="35" t="n">
        <v>0</v>
      </c>
      <c r="J368" s="35" t="n">
        <v>1</v>
      </c>
      <c r="K368" s="35" t="n">
        <v>0</v>
      </c>
      <c r="L368" s="35" t="n">
        <v>0</v>
      </c>
      <c r="M368" s="35" t="n">
        <v>0</v>
      </c>
      <c r="N368" s="35" t="n">
        <v>0</v>
      </c>
      <c r="O368" s="35" t="n">
        <v>0</v>
      </c>
      <c r="P368" s="35" t="n">
        <v>0</v>
      </c>
      <c r="Q368" s="35" t="n">
        <v>0</v>
      </c>
      <c r="R368" s="35" t="n">
        <v>1</v>
      </c>
      <c r="S368" s="35" t="n">
        <v>0</v>
      </c>
      <c r="T368" s="35" t="n">
        <v>0</v>
      </c>
      <c r="U368" s="35" t="n">
        <v>0</v>
      </c>
      <c r="V368" s="35" t="n">
        <v>0</v>
      </c>
      <c r="W368" s="35" t="n">
        <v>0</v>
      </c>
      <c r="X368" s="35" t="n">
        <v>0</v>
      </c>
      <c r="Y368" s="35" t="n">
        <v>0</v>
      </c>
      <c r="Z368" s="35" t="n">
        <v>1</v>
      </c>
      <c r="AA368" s="35" t="n">
        <v>0</v>
      </c>
      <c r="AB368" s="35" t="n">
        <v>0</v>
      </c>
      <c r="AC368" s="33" t="s">
        <v>469</v>
      </c>
      <c r="AD368" s="36" t="n">
        <f aca="false">B368-B367</f>
        <v>0.125</v>
      </c>
    </row>
    <row r="369" customFormat="false" ht="15" hidden="false" customHeight="false" outlineLevel="0" collapsed="false">
      <c r="A369" s="30" t="n">
        <v>366</v>
      </c>
      <c r="B369" s="31" t="n">
        <f aca="false">Summary!$B$5+IF(D369=1,0,IF(C369=1,Summary!$B$6,NA()))+(MATCH(1,E369:L369,0)-1)*Summary!$B$7+(MATCH(1,M369:T369,0)-1)*Summary!$B$8+(MATCH(1,U369:AB369,0)-1)*Summary!$B$9</f>
        <v>75.75</v>
      </c>
      <c r="C369" s="32" t="n">
        <v>0</v>
      </c>
      <c r="D369" s="32" t="n">
        <v>1</v>
      </c>
      <c r="E369" s="32" t="n">
        <v>0</v>
      </c>
      <c r="F369" s="32" t="n">
        <v>0</v>
      </c>
      <c r="G369" s="32" t="n">
        <v>0</v>
      </c>
      <c r="H369" s="32" t="n">
        <v>0</v>
      </c>
      <c r="I369" s="32" t="n">
        <v>0</v>
      </c>
      <c r="J369" s="32" t="n">
        <v>1</v>
      </c>
      <c r="K369" s="32" t="n">
        <v>0</v>
      </c>
      <c r="L369" s="32" t="n">
        <v>0</v>
      </c>
      <c r="M369" s="32" t="n">
        <v>0</v>
      </c>
      <c r="N369" s="32" t="n">
        <v>0</v>
      </c>
      <c r="O369" s="32" t="n">
        <v>0</v>
      </c>
      <c r="P369" s="32" t="n">
        <v>0</v>
      </c>
      <c r="Q369" s="32" t="n">
        <v>0</v>
      </c>
      <c r="R369" s="32" t="n">
        <v>1</v>
      </c>
      <c r="S369" s="32" t="n">
        <v>0</v>
      </c>
      <c r="T369" s="32" t="n">
        <v>0</v>
      </c>
      <c r="U369" s="32" t="n">
        <v>0</v>
      </c>
      <c r="V369" s="32" t="n">
        <v>0</v>
      </c>
      <c r="W369" s="32" t="n">
        <v>0</v>
      </c>
      <c r="X369" s="32" t="n">
        <v>0</v>
      </c>
      <c r="Y369" s="32" t="n">
        <v>0</v>
      </c>
      <c r="Z369" s="32" t="n">
        <v>0</v>
      </c>
      <c r="AA369" s="32" t="n">
        <v>1</v>
      </c>
      <c r="AB369" s="32" t="n">
        <v>0</v>
      </c>
      <c r="AC369" s="30" t="s">
        <v>470</v>
      </c>
      <c r="AD369" s="37" t="n">
        <f aca="false">B369-B368</f>
        <v>0.125</v>
      </c>
    </row>
    <row r="370" customFormat="false" ht="15" hidden="false" customHeight="false" outlineLevel="0" collapsed="false">
      <c r="A370" s="33" t="n">
        <v>367</v>
      </c>
      <c r="B370" s="34" t="n">
        <f aca="false">Summary!$B$5+IF(D370=1,0,IF(C370=1,Summary!$B$6,NA()))+(MATCH(1,E370:L370,0)-1)*Summary!$B$7+(MATCH(1,M370:T370,0)-1)*Summary!$B$8+(MATCH(1,U370:AB370,0)-1)*Summary!$B$9</f>
        <v>75.875</v>
      </c>
      <c r="C370" s="35" t="n">
        <v>0</v>
      </c>
      <c r="D370" s="35" t="n">
        <v>1</v>
      </c>
      <c r="E370" s="35" t="n">
        <v>0</v>
      </c>
      <c r="F370" s="35" t="n">
        <v>0</v>
      </c>
      <c r="G370" s="35" t="n">
        <v>0</v>
      </c>
      <c r="H370" s="35" t="n">
        <v>0</v>
      </c>
      <c r="I370" s="35" t="n">
        <v>0</v>
      </c>
      <c r="J370" s="35" t="n">
        <v>1</v>
      </c>
      <c r="K370" s="35" t="n">
        <v>0</v>
      </c>
      <c r="L370" s="35" t="n">
        <v>0</v>
      </c>
      <c r="M370" s="35" t="n">
        <v>0</v>
      </c>
      <c r="N370" s="35" t="n">
        <v>0</v>
      </c>
      <c r="O370" s="35" t="n">
        <v>0</v>
      </c>
      <c r="P370" s="35" t="n">
        <v>0</v>
      </c>
      <c r="Q370" s="35" t="n">
        <v>0</v>
      </c>
      <c r="R370" s="35" t="n">
        <v>1</v>
      </c>
      <c r="S370" s="35" t="n">
        <v>0</v>
      </c>
      <c r="T370" s="35" t="n">
        <v>0</v>
      </c>
      <c r="U370" s="35" t="n">
        <v>0</v>
      </c>
      <c r="V370" s="35" t="n">
        <v>0</v>
      </c>
      <c r="W370" s="35" t="n">
        <v>0</v>
      </c>
      <c r="X370" s="35" t="n">
        <v>0</v>
      </c>
      <c r="Y370" s="35" t="n">
        <v>0</v>
      </c>
      <c r="Z370" s="35" t="n">
        <v>0</v>
      </c>
      <c r="AA370" s="35" t="n">
        <v>0</v>
      </c>
      <c r="AB370" s="35" t="n">
        <v>1</v>
      </c>
      <c r="AC370" s="33" t="s">
        <v>471</v>
      </c>
      <c r="AD370" s="36" t="n">
        <f aca="false">B370-B369</f>
        <v>0.125</v>
      </c>
    </row>
    <row r="371" customFormat="false" ht="15" hidden="false" customHeight="false" outlineLevel="0" collapsed="false">
      <c r="A371" s="30" t="n">
        <v>368</v>
      </c>
      <c r="B371" s="31" t="n">
        <f aca="false">Summary!$B$5+IF(D371=1,0,IF(C371=1,Summary!$B$6,NA()))+(MATCH(1,E371:L371,0)-1)*Summary!$B$7+(MATCH(1,M371:T371,0)-1)*Summary!$B$8+(MATCH(1,U371:AB371,0)-1)*Summary!$B$9</f>
        <v>76</v>
      </c>
      <c r="C371" s="32" t="n">
        <v>0</v>
      </c>
      <c r="D371" s="32" t="n">
        <v>1</v>
      </c>
      <c r="E371" s="32" t="n">
        <v>0</v>
      </c>
      <c r="F371" s="32" t="n">
        <v>0</v>
      </c>
      <c r="G371" s="32" t="n">
        <v>0</v>
      </c>
      <c r="H371" s="32" t="n">
        <v>0</v>
      </c>
      <c r="I371" s="32" t="n">
        <v>0</v>
      </c>
      <c r="J371" s="32" t="n">
        <v>1</v>
      </c>
      <c r="K371" s="32" t="n">
        <v>0</v>
      </c>
      <c r="L371" s="32" t="n">
        <v>0</v>
      </c>
      <c r="M371" s="32" t="n">
        <v>0</v>
      </c>
      <c r="N371" s="32" t="n">
        <v>0</v>
      </c>
      <c r="O371" s="32" t="n">
        <v>0</v>
      </c>
      <c r="P371" s="32" t="n">
        <v>0</v>
      </c>
      <c r="Q371" s="32" t="n">
        <v>0</v>
      </c>
      <c r="R371" s="32" t="n">
        <v>0</v>
      </c>
      <c r="S371" s="32" t="n">
        <v>1</v>
      </c>
      <c r="T371" s="32" t="n">
        <v>0</v>
      </c>
      <c r="U371" s="32" t="n">
        <v>1</v>
      </c>
      <c r="V371" s="32" t="n">
        <v>0</v>
      </c>
      <c r="W371" s="32" t="n">
        <v>0</v>
      </c>
      <c r="X371" s="32" t="n">
        <v>0</v>
      </c>
      <c r="Y371" s="32" t="n">
        <v>0</v>
      </c>
      <c r="Z371" s="32" t="n">
        <v>0</v>
      </c>
      <c r="AA371" s="32" t="n">
        <v>0</v>
      </c>
      <c r="AB371" s="32" t="n">
        <v>0</v>
      </c>
      <c r="AC371" s="30" t="s">
        <v>472</v>
      </c>
      <c r="AD371" s="37" t="n">
        <f aca="false">B371-B370</f>
        <v>0.125</v>
      </c>
    </row>
    <row r="372" customFormat="false" ht="15" hidden="false" customHeight="false" outlineLevel="0" collapsed="false">
      <c r="A372" s="33" t="n">
        <v>369</v>
      </c>
      <c r="B372" s="34" t="n">
        <f aca="false">Summary!$B$5+IF(D372=1,0,IF(C372=1,Summary!$B$6,NA()))+(MATCH(1,E372:L372,0)-1)*Summary!$B$7+(MATCH(1,M372:T372,0)-1)*Summary!$B$8+(MATCH(1,U372:AB372,0)-1)*Summary!$B$9</f>
        <v>76.125</v>
      </c>
      <c r="C372" s="35" t="n">
        <v>0</v>
      </c>
      <c r="D372" s="35" t="n">
        <v>1</v>
      </c>
      <c r="E372" s="35" t="n">
        <v>0</v>
      </c>
      <c r="F372" s="35" t="n">
        <v>0</v>
      </c>
      <c r="G372" s="35" t="n">
        <v>0</v>
      </c>
      <c r="H372" s="35" t="n">
        <v>0</v>
      </c>
      <c r="I372" s="35" t="n">
        <v>0</v>
      </c>
      <c r="J372" s="35" t="n">
        <v>1</v>
      </c>
      <c r="K372" s="35" t="n">
        <v>0</v>
      </c>
      <c r="L372" s="35" t="n">
        <v>0</v>
      </c>
      <c r="M372" s="35" t="n">
        <v>0</v>
      </c>
      <c r="N372" s="35" t="n">
        <v>0</v>
      </c>
      <c r="O372" s="35" t="n">
        <v>0</v>
      </c>
      <c r="P372" s="35" t="n">
        <v>0</v>
      </c>
      <c r="Q372" s="35" t="n">
        <v>0</v>
      </c>
      <c r="R372" s="35" t="n">
        <v>0</v>
      </c>
      <c r="S372" s="35" t="n">
        <v>1</v>
      </c>
      <c r="T372" s="35" t="n">
        <v>0</v>
      </c>
      <c r="U372" s="35" t="n">
        <v>0</v>
      </c>
      <c r="V372" s="35" t="n">
        <v>1</v>
      </c>
      <c r="W372" s="35" t="n">
        <v>0</v>
      </c>
      <c r="X372" s="35" t="n">
        <v>0</v>
      </c>
      <c r="Y372" s="35" t="n">
        <v>0</v>
      </c>
      <c r="Z372" s="35" t="n">
        <v>0</v>
      </c>
      <c r="AA372" s="35" t="n">
        <v>0</v>
      </c>
      <c r="AB372" s="35" t="n">
        <v>0</v>
      </c>
      <c r="AC372" s="33" t="s">
        <v>473</v>
      </c>
      <c r="AD372" s="36" t="n">
        <f aca="false">B372-B371</f>
        <v>0.125</v>
      </c>
    </row>
    <row r="373" customFormat="false" ht="15" hidden="false" customHeight="false" outlineLevel="0" collapsed="false">
      <c r="A373" s="30" t="n">
        <v>370</v>
      </c>
      <c r="B373" s="31" t="n">
        <f aca="false">Summary!$B$5+IF(D373=1,0,IF(C373=1,Summary!$B$6,NA()))+(MATCH(1,E373:L373,0)-1)*Summary!$B$7+(MATCH(1,M373:T373,0)-1)*Summary!$B$8+(MATCH(1,U373:AB373,0)-1)*Summary!$B$9</f>
        <v>76.25</v>
      </c>
      <c r="C373" s="32" t="n">
        <v>0</v>
      </c>
      <c r="D373" s="32" t="n">
        <v>1</v>
      </c>
      <c r="E373" s="32" t="n">
        <v>0</v>
      </c>
      <c r="F373" s="32" t="n">
        <v>0</v>
      </c>
      <c r="G373" s="32" t="n">
        <v>0</v>
      </c>
      <c r="H373" s="32" t="n">
        <v>0</v>
      </c>
      <c r="I373" s="32" t="n">
        <v>0</v>
      </c>
      <c r="J373" s="32" t="n">
        <v>1</v>
      </c>
      <c r="K373" s="32" t="n">
        <v>0</v>
      </c>
      <c r="L373" s="32" t="n">
        <v>0</v>
      </c>
      <c r="M373" s="32" t="n">
        <v>0</v>
      </c>
      <c r="N373" s="32" t="n">
        <v>0</v>
      </c>
      <c r="O373" s="32" t="n">
        <v>0</v>
      </c>
      <c r="P373" s="32" t="n">
        <v>0</v>
      </c>
      <c r="Q373" s="32" t="n">
        <v>0</v>
      </c>
      <c r="R373" s="32" t="n">
        <v>0</v>
      </c>
      <c r="S373" s="32" t="n">
        <v>1</v>
      </c>
      <c r="T373" s="32" t="n">
        <v>0</v>
      </c>
      <c r="U373" s="32" t="n">
        <v>0</v>
      </c>
      <c r="V373" s="32" t="n">
        <v>0</v>
      </c>
      <c r="W373" s="32" t="n">
        <v>1</v>
      </c>
      <c r="X373" s="32" t="n">
        <v>0</v>
      </c>
      <c r="Y373" s="32" t="n">
        <v>0</v>
      </c>
      <c r="Z373" s="32" t="n">
        <v>0</v>
      </c>
      <c r="AA373" s="32" t="n">
        <v>0</v>
      </c>
      <c r="AB373" s="32" t="n">
        <v>0</v>
      </c>
      <c r="AC373" s="30" t="s">
        <v>474</v>
      </c>
      <c r="AD373" s="37" t="n">
        <f aca="false">B373-B372</f>
        <v>0.125</v>
      </c>
    </row>
    <row r="374" customFormat="false" ht="15" hidden="false" customHeight="false" outlineLevel="0" collapsed="false">
      <c r="A374" s="33" t="n">
        <v>371</v>
      </c>
      <c r="B374" s="34" t="n">
        <f aca="false">Summary!$B$5+IF(D374=1,0,IF(C374=1,Summary!$B$6,NA()))+(MATCH(1,E374:L374,0)-1)*Summary!$B$7+(MATCH(1,M374:T374,0)-1)*Summary!$B$8+(MATCH(1,U374:AB374,0)-1)*Summary!$B$9</f>
        <v>76.375</v>
      </c>
      <c r="C374" s="35" t="n">
        <v>0</v>
      </c>
      <c r="D374" s="35" t="n">
        <v>1</v>
      </c>
      <c r="E374" s="35" t="n">
        <v>0</v>
      </c>
      <c r="F374" s="35" t="n">
        <v>0</v>
      </c>
      <c r="G374" s="35" t="n">
        <v>0</v>
      </c>
      <c r="H374" s="35" t="n">
        <v>0</v>
      </c>
      <c r="I374" s="35" t="n">
        <v>0</v>
      </c>
      <c r="J374" s="35" t="n">
        <v>1</v>
      </c>
      <c r="K374" s="35" t="n">
        <v>0</v>
      </c>
      <c r="L374" s="35" t="n">
        <v>0</v>
      </c>
      <c r="M374" s="35" t="n">
        <v>0</v>
      </c>
      <c r="N374" s="35" t="n">
        <v>0</v>
      </c>
      <c r="O374" s="35" t="n">
        <v>0</v>
      </c>
      <c r="P374" s="35" t="n">
        <v>0</v>
      </c>
      <c r="Q374" s="35" t="n">
        <v>0</v>
      </c>
      <c r="R374" s="35" t="n">
        <v>0</v>
      </c>
      <c r="S374" s="35" t="n">
        <v>1</v>
      </c>
      <c r="T374" s="35" t="n">
        <v>0</v>
      </c>
      <c r="U374" s="35" t="n">
        <v>0</v>
      </c>
      <c r="V374" s="35" t="n">
        <v>0</v>
      </c>
      <c r="W374" s="35" t="n">
        <v>0</v>
      </c>
      <c r="X374" s="35" t="n">
        <v>1</v>
      </c>
      <c r="Y374" s="35" t="n">
        <v>0</v>
      </c>
      <c r="Z374" s="35" t="n">
        <v>0</v>
      </c>
      <c r="AA374" s="35" t="n">
        <v>0</v>
      </c>
      <c r="AB374" s="35" t="n">
        <v>0</v>
      </c>
      <c r="AC374" s="33" t="s">
        <v>475</v>
      </c>
      <c r="AD374" s="36" t="n">
        <f aca="false">B374-B373</f>
        <v>0.125</v>
      </c>
    </row>
    <row r="375" customFormat="false" ht="15" hidden="false" customHeight="false" outlineLevel="0" collapsed="false">
      <c r="A375" s="30" t="n">
        <v>372</v>
      </c>
      <c r="B375" s="31" t="n">
        <f aca="false">Summary!$B$5+IF(D375=1,0,IF(C375=1,Summary!$B$6,NA()))+(MATCH(1,E375:L375,0)-1)*Summary!$B$7+(MATCH(1,M375:T375,0)-1)*Summary!$B$8+(MATCH(1,U375:AB375,0)-1)*Summary!$B$9</f>
        <v>76.5</v>
      </c>
      <c r="C375" s="32" t="n">
        <v>0</v>
      </c>
      <c r="D375" s="32" t="n">
        <v>1</v>
      </c>
      <c r="E375" s="32" t="n">
        <v>0</v>
      </c>
      <c r="F375" s="32" t="n">
        <v>0</v>
      </c>
      <c r="G375" s="32" t="n">
        <v>0</v>
      </c>
      <c r="H375" s="32" t="n">
        <v>0</v>
      </c>
      <c r="I375" s="32" t="n">
        <v>0</v>
      </c>
      <c r="J375" s="32" t="n">
        <v>1</v>
      </c>
      <c r="K375" s="32" t="n">
        <v>0</v>
      </c>
      <c r="L375" s="32" t="n">
        <v>0</v>
      </c>
      <c r="M375" s="32" t="n">
        <v>0</v>
      </c>
      <c r="N375" s="32" t="n">
        <v>0</v>
      </c>
      <c r="O375" s="32" t="n">
        <v>0</v>
      </c>
      <c r="P375" s="32" t="n">
        <v>0</v>
      </c>
      <c r="Q375" s="32" t="n">
        <v>0</v>
      </c>
      <c r="R375" s="32" t="n">
        <v>0</v>
      </c>
      <c r="S375" s="32" t="n">
        <v>1</v>
      </c>
      <c r="T375" s="32" t="n">
        <v>0</v>
      </c>
      <c r="U375" s="32" t="n">
        <v>0</v>
      </c>
      <c r="V375" s="32" t="n">
        <v>0</v>
      </c>
      <c r="W375" s="32" t="n">
        <v>0</v>
      </c>
      <c r="X375" s="32" t="n">
        <v>0</v>
      </c>
      <c r="Y375" s="32" t="n">
        <v>1</v>
      </c>
      <c r="Z375" s="32" t="n">
        <v>0</v>
      </c>
      <c r="AA375" s="32" t="n">
        <v>0</v>
      </c>
      <c r="AB375" s="32" t="n">
        <v>0</v>
      </c>
      <c r="AC375" s="30" t="s">
        <v>476</v>
      </c>
      <c r="AD375" s="37" t="n">
        <f aca="false">B375-B374</f>
        <v>0.125</v>
      </c>
    </row>
    <row r="376" customFormat="false" ht="15" hidden="false" customHeight="false" outlineLevel="0" collapsed="false">
      <c r="A376" s="33" t="n">
        <v>373</v>
      </c>
      <c r="B376" s="34" t="n">
        <f aca="false">Summary!$B$5+IF(D376=1,0,IF(C376=1,Summary!$B$6,NA()))+(MATCH(1,E376:L376,0)-1)*Summary!$B$7+(MATCH(1,M376:T376,0)-1)*Summary!$B$8+(MATCH(1,U376:AB376,0)-1)*Summary!$B$9</f>
        <v>76.625</v>
      </c>
      <c r="C376" s="35" t="n">
        <v>0</v>
      </c>
      <c r="D376" s="35" t="n">
        <v>1</v>
      </c>
      <c r="E376" s="35" t="n">
        <v>0</v>
      </c>
      <c r="F376" s="35" t="n">
        <v>0</v>
      </c>
      <c r="G376" s="35" t="n">
        <v>0</v>
      </c>
      <c r="H376" s="35" t="n">
        <v>0</v>
      </c>
      <c r="I376" s="35" t="n">
        <v>0</v>
      </c>
      <c r="J376" s="35" t="n">
        <v>1</v>
      </c>
      <c r="K376" s="35" t="n">
        <v>0</v>
      </c>
      <c r="L376" s="35" t="n">
        <v>0</v>
      </c>
      <c r="M376" s="35" t="n">
        <v>0</v>
      </c>
      <c r="N376" s="35" t="n">
        <v>0</v>
      </c>
      <c r="O376" s="35" t="n">
        <v>0</v>
      </c>
      <c r="P376" s="35" t="n">
        <v>0</v>
      </c>
      <c r="Q376" s="35" t="n">
        <v>0</v>
      </c>
      <c r="R376" s="35" t="n">
        <v>0</v>
      </c>
      <c r="S376" s="35" t="n">
        <v>1</v>
      </c>
      <c r="T376" s="35" t="n">
        <v>0</v>
      </c>
      <c r="U376" s="35" t="n">
        <v>0</v>
      </c>
      <c r="V376" s="35" t="n">
        <v>0</v>
      </c>
      <c r="W376" s="35" t="n">
        <v>0</v>
      </c>
      <c r="X376" s="35" t="n">
        <v>0</v>
      </c>
      <c r="Y376" s="35" t="n">
        <v>0</v>
      </c>
      <c r="Z376" s="35" t="n">
        <v>1</v>
      </c>
      <c r="AA376" s="35" t="n">
        <v>0</v>
      </c>
      <c r="AB376" s="35" t="n">
        <v>0</v>
      </c>
      <c r="AC376" s="33" t="s">
        <v>477</v>
      </c>
      <c r="AD376" s="36" t="n">
        <f aca="false">B376-B375</f>
        <v>0.125</v>
      </c>
    </row>
    <row r="377" customFormat="false" ht="15" hidden="false" customHeight="false" outlineLevel="0" collapsed="false">
      <c r="A377" s="30" t="n">
        <v>374</v>
      </c>
      <c r="B377" s="31" t="n">
        <f aca="false">Summary!$B$5+IF(D377=1,0,IF(C377=1,Summary!$B$6,NA()))+(MATCH(1,E377:L377,0)-1)*Summary!$B$7+(MATCH(1,M377:T377,0)-1)*Summary!$B$8+(MATCH(1,U377:AB377,0)-1)*Summary!$B$9</f>
        <v>76.75</v>
      </c>
      <c r="C377" s="32" t="n">
        <v>0</v>
      </c>
      <c r="D377" s="32" t="n">
        <v>1</v>
      </c>
      <c r="E377" s="32" t="n">
        <v>0</v>
      </c>
      <c r="F377" s="32" t="n">
        <v>0</v>
      </c>
      <c r="G377" s="32" t="n">
        <v>0</v>
      </c>
      <c r="H377" s="32" t="n">
        <v>0</v>
      </c>
      <c r="I377" s="32" t="n">
        <v>0</v>
      </c>
      <c r="J377" s="32" t="n">
        <v>1</v>
      </c>
      <c r="K377" s="32" t="n">
        <v>0</v>
      </c>
      <c r="L377" s="32" t="n">
        <v>0</v>
      </c>
      <c r="M377" s="32" t="n">
        <v>0</v>
      </c>
      <c r="N377" s="32" t="n">
        <v>0</v>
      </c>
      <c r="O377" s="32" t="n">
        <v>0</v>
      </c>
      <c r="P377" s="32" t="n">
        <v>0</v>
      </c>
      <c r="Q377" s="32" t="n">
        <v>0</v>
      </c>
      <c r="R377" s="32" t="n">
        <v>0</v>
      </c>
      <c r="S377" s="32" t="n">
        <v>1</v>
      </c>
      <c r="T377" s="32" t="n">
        <v>0</v>
      </c>
      <c r="U377" s="32" t="n">
        <v>0</v>
      </c>
      <c r="V377" s="32" t="n">
        <v>0</v>
      </c>
      <c r="W377" s="32" t="n">
        <v>0</v>
      </c>
      <c r="X377" s="32" t="n">
        <v>0</v>
      </c>
      <c r="Y377" s="32" t="n">
        <v>0</v>
      </c>
      <c r="Z377" s="32" t="n">
        <v>0</v>
      </c>
      <c r="AA377" s="32" t="n">
        <v>1</v>
      </c>
      <c r="AB377" s="32" t="n">
        <v>0</v>
      </c>
      <c r="AC377" s="30" t="s">
        <v>478</v>
      </c>
      <c r="AD377" s="37" t="n">
        <f aca="false">B377-B376</f>
        <v>0.125</v>
      </c>
    </row>
    <row r="378" customFormat="false" ht="15" hidden="false" customHeight="false" outlineLevel="0" collapsed="false">
      <c r="A378" s="33" t="n">
        <v>375</v>
      </c>
      <c r="B378" s="34" t="n">
        <f aca="false">Summary!$B$5+IF(D378=1,0,IF(C378=1,Summary!$B$6,NA()))+(MATCH(1,E378:L378,0)-1)*Summary!$B$7+(MATCH(1,M378:T378,0)-1)*Summary!$B$8+(MATCH(1,U378:AB378,0)-1)*Summary!$B$9</f>
        <v>76.875</v>
      </c>
      <c r="C378" s="35" t="n">
        <v>0</v>
      </c>
      <c r="D378" s="35" t="n">
        <v>1</v>
      </c>
      <c r="E378" s="35" t="n">
        <v>0</v>
      </c>
      <c r="F378" s="35" t="n">
        <v>0</v>
      </c>
      <c r="G378" s="35" t="n">
        <v>0</v>
      </c>
      <c r="H378" s="35" t="n">
        <v>0</v>
      </c>
      <c r="I378" s="35" t="n">
        <v>0</v>
      </c>
      <c r="J378" s="35" t="n">
        <v>1</v>
      </c>
      <c r="K378" s="35" t="n">
        <v>0</v>
      </c>
      <c r="L378" s="35" t="n">
        <v>0</v>
      </c>
      <c r="M378" s="35" t="n">
        <v>0</v>
      </c>
      <c r="N378" s="35" t="n">
        <v>0</v>
      </c>
      <c r="O378" s="35" t="n">
        <v>0</v>
      </c>
      <c r="P378" s="35" t="n">
        <v>0</v>
      </c>
      <c r="Q378" s="35" t="n">
        <v>0</v>
      </c>
      <c r="R378" s="35" t="n">
        <v>0</v>
      </c>
      <c r="S378" s="35" t="n">
        <v>1</v>
      </c>
      <c r="T378" s="35" t="n">
        <v>0</v>
      </c>
      <c r="U378" s="35" t="n">
        <v>0</v>
      </c>
      <c r="V378" s="35" t="n">
        <v>0</v>
      </c>
      <c r="W378" s="35" t="n">
        <v>0</v>
      </c>
      <c r="X378" s="35" t="n">
        <v>0</v>
      </c>
      <c r="Y378" s="35" t="n">
        <v>0</v>
      </c>
      <c r="Z378" s="35" t="n">
        <v>0</v>
      </c>
      <c r="AA378" s="35" t="n">
        <v>0</v>
      </c>
      <c r="AB378" s="35" t="n">
        <v>1</v>
      </c>
      <c r="AC378" s="33" t="s">
        <v>479</v>
      </c>
      <c r="AD378" s="36" t="n">
        <f aca="false">B378-B377</f>
        <v>0.125</v>
      </c>
    </row>
    <row r="379" customFormat="false" ht="15" hidden="false" customHeight="false" outlineLevel="0" collapsed="false">
      <c r="A379" s="30" t="n">
        <v>376</v>
      </c>
      <c r="B379" s="31" t="n">
        <f aca="false">Summary!$B$5+IF(D379=1,0,IF(C379=1,Summary!$B$6,NA()))+(MATCH(1,E379:L379,0)-1)*Summary!$B$7+(MATCH(1,M379:T379,0)-1)*Summary!$B$8+(MATCH(1,U379:AB379,0)-1)*Summary!$B$9</f>
        <v>77</v>
      </c>
      <c r="C379" s="32" t="n">
        <v>0</v>
      </c>
      <c r="D379" s="32" t="n">
        <v>1</v>
      </c>
      <c r="E379" s="32" t="n">
        <v>0</v>
      </c>
      <c r="F379" s="32" t="n">
        <v>0</v>
      </c>
      <c r="G379" s="32" t="n">
        <v>0</v>
      </c>
      <c r="H379" s="32" t="n">
        <v>0</v>
      </c>
      <c r="I379" s="32" t="n">
        <v>0</v>
      </c>
      <c r="J379" s="32" t="n">
        <v>1</v>
      </c>
      <c r="K379" s="32" t="n">
        <v>0</v>
      </c>
      <c r="L379" s="32" t="n">
        <v>0</v>
      </c>
      <c r="M379" s="32" t="n">
        <v>0</v>
      </c>
      <c r="N379" s="32" t="n">
        <v>0</v>
      </c>
      <c r="O379" s="32" t="n">
        <v>0</v>
      </c>
      <c r="P379" s="32" t="n">
        <v>0</v>
      </c>
      <c r="Q379" s="32" t="n">
        <v>0</v>
      </c>
      <c r="R379" s="32" t="n">
        <v>0</v>
      </c>
      <c r="S379" s="32" t="n">
        <v>0</v>
      </c>
      <c r="T379" s="32" t="n">
        <v>1</v>
      </c>
      <c r="U379" s="32" t="n">
        <v>1</v>
      </c>
      <c r="V379" s="32" t="n">
        <v>0</v>
      </c>
      <c r="W379" s="32" t="n">
        <v>0</v>
      </c>
      <c r="X379" s="32" t="n">
        <v>0</v>
      </c>
      <c r="Y379" s="32" t="n">
        <v>0</v>
      </c>
      <c r="Z379" s="32" t="n">
        <v>0</v>
      </c>
      <c r="AA379" s="32" t="n">
        <v>0</v>
      </c>
      <c r="AB379" s="32" t="n">
        <v>0</v>
      </c>
      <c r="AC379" s="30" t="s">
        <v>480</v>
      </c>
      <c r="AD379" s="37" t="n">
        <f aca="false">B379-B378</f>
        <v>0.125</v>
      </c>
    </row>
    <row r="380" customFormat="false" ht="15" hidden="false" customHeight="false" outlineLevel="0" collapsed="false">
      <c r="A380" s="33" t="n">
        <v>377</v>
      </c>
      <c r="B380" s="34" t="n">
        <f aca="false">Summary!$B$5+IF(D380=1,0,IF(C380=1,Summary!$B$6,NA()))+(MATCH(1,E380:L380,0)-1)*Summary!$B$7+(MATCH(1,M380:T380,0)-1)*Summary!$B$8+(MATCH(1,U380:AB380,0)-1)*Summary!$B$9</f>
        <v>77.125</v>
      </c>
      <c r="C380" s="35" t="n">
        <v>0</v>
      </c>
      <c r="D380" s="35" t="n">
        <v>1</v>
      </c>
      <c r="E380" s="35" t="n">
        <v>0</v>
      </c>
      <c r="F380" s="35" t="n">
        <v>0</v>
      </c>
      <c r="G380" s="35" t="n">
        <v>0</v>
      </c>
      <c r="H380" s="35" t="n">
        <v>0</v>
      </c>
      <c r="I380" s="35" t="n">
        <v>0</v>
      </c>
      <c r="J380" s="35" t="n">
        <v>1</v>
      </c>
      <c r="K380" s="35" t="n">
        <v>0</v>
      </c>
      <c r="L380" s="35" t="n">
        <v>0</v>
      </c>
      <c r="M380" s="35" t="n">
        <v>0</v>
      </c>
      <c r="N380" s="35" t="n">
        <v>0</v>
      </c>
      <c r="O380" s="35" t="n">
        <v>0</v>
      </c>
      <c r="P380" s="35" t="n">
        <v>0</v>
      </c>
      <c r="Q380" s="35" t="n">
        <v>0</v>
      </c>
      <c r="R380" s="35" t="n">
        <v>0</v>
      </c>
      <c r="S380" s="35" t="n">
        <v>0</v>
      </c>
      <c r="T380" s="35" t="n">
        <v>1</v>
      </c>
      <c r="U380" s="35" t="n">
        <v>0</v>
      </c>
      <c r="V380" s="35" t="n">
        <v>1</v>
      </c>
      <c r="W380" s="35" t="n">
        <v>0</v>
      </c>
      <c r="X380" s="35" t="n">
        <v>0</v>
      </c>
      <c r="Y380" s="35" t="n">
        <v>0</v>
      </c>
      <c r="Z380" s="35" t="n">
        <v>0</v>
      </c>
      <c r="AA380" s="35" t="n">
        <v>0</v>
      </c>
      <c r="AB380" s="35" t="n">
        <v>0</v>
      </c>
      <c r="AC380" s="33" t="s">
        <v>481</v>
      </c>
      <c r="AD380" s="36" t="n">
        <f aca="false">B380-B379</f>
        <v>0.125</v>
      </c>
    </row>
    <row r="381" customFormat="false" ht="15" hidden="false" customHeight="false" outlineLevel="0" collapsed="false">
      <c r="A381" s="30" t="n">
        <v>378</v>
      </c>
      <c r="B381" s="31" t="n">
        <f aca="false">Summary!$B$5+IF(D381=1,0,IF(C381=1,Summary!$B$6,NA()))+(MATCH(1,E381:L381,0)-1)*Summary!$B$7+(MATCH(1,M381:T381,0)-1)*Summary!$B$8+(MATCH(1,U381:AB381,0)-1)*Summary!$B$9</f>
        <v>77.25</v>
      </c>
      <c r="C381" s="32" t="n">
        <v>0</v>
      </c>
      <c r="D381" s="32" t="n">
        <v>1</v>
      </c>
      <c r="E381" s="32" t="n">
        <v>0</v>
      </c>
      <c r="F381" s="32" t="n">
        <v>0</v>
      </c>
      <c r="G381" s="32" t="n">
        <v>0</v>
      </c>
      <c r="H381" s="32" t="n">
        <v>0</v>
      </c>
      <c r="I381" s="32" t="n">
        <v>0</v>
      </c>
      <c r="J381" s="32" t="n">
        <v>1</v>
      </c>
      <c r="K381" s="32" t="n">
        <v>0</v>
      </c>
      <c r="L381" s="32" t="n">
        <v>0</v>
      </c>
      <c r="M381" s="32" t="n">
        <v>0</v>
      </c>
      <c r="N381" s="32" t="n">
        <v>0</v>
      </c>
      <c r="O381" s="32" t="n">
        <v>0</v>
      </c>
      <c r="P381" s="32" t="n">
        <v>0</v>
      </c>
      <c r="Q381" s="32" t="n">
        <v>0</v>
      </c>
      <c r="R381" s="32" t="n">
        <v>0</v>
      </c>
      <c r="S381" s="32" t="n">
        <v>0</v>
      </c>
      <c r="T381" s="32" t="n">
        <v>1</v>
      </c>
      <c r="U381" s="32" t="n">
        <v>0</v>
      </c>
      <c r="V381" s="32" t="n">
        <v>0</v>
      </c>
      <c r="W381" s="32" t="n">
        <v>1</v>
      </c>
      <c r="X381" s="32" t="n">
        <v>0</v>
      </c>
      <c r="Y381" s="32" t="n">
        <v>0</v>
      </c>
      <c r="Z381" s="32" t="n">
        <v>0</v>
      </c>
      <c r="AA381" s="32" t="n">
        <v>0</v>
      </c>
      <c r="AB381" s="32" t="n">
        <v>0</v>
      </c>
      <c r="AC381" s="30" t="s">
        <v>482</v>
      </c>
      <c r="AD381" s="37" t="n">
        <f aca="false">B381-B380</f>
        <v>0.125</v>
      </c>
    </row>
    <row r="382" customFormat="false" ht="15" hidden="false" customHeight="false" outlineLevel="0" collapsed="false">
      <c r="A382" s="33" t="n">
        <v>379</v>
      </c>
      <c r="B382" s="34" t="n">
        <f aca="false">Summary!$B$5+IF(D382=1,0,IF(C382=1,Summary!$B$6,NA()))+(MATCH(1,E382:L382,0)-1)*Summary!$B$7+(MATCH(1,M382:T382,0)-1)*Summary!$B$8+(MATCH(1,U382:AB382,0)-1)*Summary!$B$9</f>
        <v>77.375</v>
      </c>
      <c r="C382" s="35" t="n">
        <v>0</v>
      </c>
      <c r="D382" s="35" t="n">
        <v>1</v>
      </c>
      <c r="E382" s="35" t="n">
        <v>0</v>
      </c>
      <c r="F382" s="35" t="n">
        <v>0</v>
      </c>
      <c r="G382" s="35" t="n">
        <v>0</v>
      </c>
      <c r="H382" s="35" t="n">
        <v>0</v>
      </c>
      <c r="I382" s="35" t="n">
        <v>0</v>
      </c>
      <c r="J382" s="35" t="n">
        <v>1</v>
      </c>
      <c r="K382" s="35" t="n">
        <v>0</v>
      </c>
      <c r="L382" s="35" t="n">
        <v>0</v>
      </c>
      <c r="M382" s="35" t="n">
        <v>0</v>
      </c>
      <c r="N382" s="35" t="n">
        <v>0</v>
      </c>
      <c r="O382" s="35" t="n">
        <v>0</v>
      </c>
      <c r="P382" s="35" t="n">
        <v>0</v>
      </c>
      <c r="Q382" s="35" t="n">
        <v>0</v>
      </c>
      <c r="R382" s="35" t="n">
        <v>0</v>
      </c>
      <c r="S382" s="35" t="n">
        <v>0</v>
      </c>
      <c r="T382" s="35" t="n">
        <v>1</v>
      </c>
      <c r="U382" s="35" t="n">
        <v>0</v>
      </c>
      <c r="V382" s="35" t="n">
        <v>0</v>
      </c>
      <c r="W382" s="35" t="n">
        <v>0</v>
      </c>
      <c r="X382" s="35" t="n">
        <v>1</v>
      </c>
      <c r="Y382" s="35" t="n">
        <v>0</v>
      </c>
      <c r="Z382" s="35" t="n">
        <v>0</v>
      </c>
      <c r="AA382" s="35" t="n">
        <v>0</v>
      </c>
      <c r="AB382" s="35" t="n">
        <v>0</v>
      </c>
      <c r="AC382" s="33" t="s">
        <v>483</v>
      </c>
      <c r="AD382" s="36" t="n">
        <f aca="false">B382-B381</f>
        <v>0.125</v>
      </c>
    </row>
    <row r="383" customFormat="false" ht="15" hidden="false" customHeight="false" outlineLevel="0" collapsed="false">
      <c r="A383" s="30" t="n">
        <v>380</v>
      </c>
      <c r="B383" s="31" t="n">
        <f aca="false">Summary!$B$5+IF(D383=1,0,IF(C383=1,Summary!$B$6,NA()))+(MATCH(1,E383:L383,0)-1)*Summary!$B$7+(MATCH(1,M383:T383,0)-1)*Summary!$B$8+(MATCH(1,U383:AB383,0)-1)*Summary!$B$9</f>
        <v>77.5</v>
      </c>
      <c r="C383" s="32" t="n">
        <v>0</v>
      </c>
      <c r="D383" s="32" t="n">
        <v>1</v>
      </c>
      <c r="E383" s="32" t="n">
        <v>0</v>
      </c>
      <c r="F383" s="32" t="n">
        <v>0</v>
      </c>
      <c r="G383" s="32" t="n">
        <v>0</v>
      </c>
      <c r="H383" s="32" t="n">
        <v>0</v>
      </c>
      <c r="I383" s="32" t="n">
        <v>0</v>
      </c>
      <c r="J383" s="32" t="n">
        <v>1</v>
      </c>
      <c r="K383" s="32" t="n">
        <v>0</v>
      </c>
      <c r="L383" s="32" t="n">
        <v>0</v>
      </c>
      <c r="M383" s="32" t="n">
        <v>0</v>
      </c>
      <c r="N383" s="32" t="n">
        <v>0</v>
      </c>
      <c r="O383" s="32" t="n">
        <v>0</v>
      </c>
      <c r="P383" s="32" t="n">
        <v>0</v>
      </c>
      <c r="Q383" s="32" t="n">
        <v>0</v>
      </c>
      <c r="R383" s="32" t="n">
        <v>0</v>
      </c>
      <c r="S383" s="32" t="n">
        <v>0</v>
      </c>
      <c r="T383" s="32" t="n">
        <v>1</v>
      </c>
      <c r="U383" s="32" t="n">
        <v>0</v>
      </c>
      <c r="V383" s="32" t="n">
        <v>0</v>
      </c>
      <c r="W383" s="32" t="n">
        <v>0</v>
      </c>
      <c r="X383" s="32" t="n">
        <v>0</v>
      </c>
      <c r="Y383" s="32" t="n">
        <v>1</v>
      </c>
      <c r="Z383" s="32" t="n">
        <v>0</v>
      </c>
      <c r="AA383" s="32" t="n">
        <v>0</v>
      </c>
      <c r="AB383" s="32" t="n">
        <v>0</v>
      </c>
      <c r="AC383" s="30" t="s">
        <v>484</v>
      </c>
      <c r="AD383" s="37" t="n">
        <f aca="false">B383-B382</f>
        <v>0.125</v>
      </c>
    </row>
    <row r="384" customFormat="false" ht="15" hidden="false" customHeight="false" outlineLevel="0" collapsed="false">
      <c r="A384" s="33" t="n">
        <v>381</v>
      </c>
      <c r="B384" s="34" t="n">
        <f aca="false">Summary!$B$5+IF(D384=1,0,IF(C384=1,Summary!$B$6,NA()))+(MATCH(1,E384:L384,0)-1)*Summary!$B$7+(MATCH(1,M384:T384,0)-1)*Summary!$B$8+(MATCH(1,U384:AB384,0)-1)*Summary!$B$9</f>
        <v>77.625</v>
      </c>
      <c r="C384" s="35" t="n">
        <v>0</v>
      </c>
      <c r="D384" s="35" t="n">
        <v>1</v>
      </c>
      <c r="E384" s="35" t="n">
        <v>0</v>
      </c>
      <c r="F384" s="35" t="n">
        <v>0</v>
      </c>
      <c r="G384" s="35" t="n">
        <v>0</v>
      </c>
      <c r="H384" s="35" t="n">
        <v>0</v>
      </c>
      <c r="I384" s="35" t="n">
        <v>0</v>
      </c>
      <c r="J384" s="35" t="n">
        <v>1</v>
      </c>
      <c r="K384" s="35" t="n">
        <v>0</v>
      </c>
      <c r="L384" s="35" t="n">
        <v>0</v>
      </c>
      <c r="M384" s="35" t="n">
        <v>0</v>
      </c>
      <c r="N384" s="35" t="n">
        <v>0</v>
      </c>
      <c r="O384" s="35" t="n">
        <v>0</v>
      </c>
      <c r="P384" s="35" t="n">
        <v>0</v>
      </c>
      <c r="Q384" s="35" t="n">
        <v>0</v>
      </c>
      <c r="R384" s="35" t="n">
        <v>0</v>
      </c>
      <c r="S384" s="35" t="n">
        <v>0</v>
      </c>
      <c r="T384" s="35" t="n">
        <v>1</v>
      </c>
      <c r="U384" s="35" t="n">
        <v>0</v>
      </c>
      <c r="V384" s="35" t="n">
        <v>0</v>
      </c>
      <c r="W384" s="35" t="n">
        <v>0</v>
      </c>
      <c r="X384" s="35" t="n">
        <v>0</v>
      </c>
      <c r="Y384" s="35" t="n">
        <v>0</v>
      </c>
      <c r="Z384" s="35" t="n">
        <v>1</v>
      </c>
      <c r="AA384" s="35" t="n">
        <v>0</v>
      </c>
      <c r="AB384" s="35" t="n">
        <v>0</v>
      </c>
      <c r="AC384" s="33" t="s">
        <v>485</v>
      </c>
      <c r="AD384" s="36" t="n">
        <f aca="false">B384-B383</f>
        <v>0.125</v>
      </c>
    </row>
    <row r="385" customFormat="false" ht="15" hidden="false" customHeight="false" outlineLevel="0" collapsed="false">
      <c r="A385" s="30" t="n">
        <v>382</v>
      </c>
      <c r="B385" s="31" t="n">
        <f aca="false">Summary!$B$5+IF(D385=1,0,IF(C385=1,Summary!$B$6,NA()))+(MATCH(1,E385:L385,0)-1)*Summary!$B$7+(MATCH(1,M385:T385,0)-1)*Summary!$B$8+(MATCH(1,U385:AB385,0)-1)*Summary!$B$9</f>
        <v>77.75</v>
      </c>
      <c r="C385" s="32" t="n">
        <v>0</v>
      </c>
      <c r="D385" s="32" t="n">
        <v>1</v>
      </c>
      <c r="E385" s="32" t="n">
        <v>0</v>
      </c>
      <c r="F385" s="32" t="n">
        <v>0</v>
      </c>
      <c r="G385" s="32" t="n">
        <v>0</v>
      </c>
      <c r="H385" s="32" t="n">
        <v>0</v>
      </c>
      <c r="I385" s="32" t="n">
        <v>0</v>
      </c>
      <c r="J385" s="32" t="n">
        <v>1</v>
      </c>
      <c r="K385" s="32" t="n">
        <v>0</v>
      </c>
      <c r="L385" s="32" t="n">
        <v>0</v>
      </c>
      <c r="M385" s="32" t="n">
        <v>0</v>
      </c>
      <c r="N385" s="32" t="n">
        <v>0</v>
      </c>
      <c r="O385" s="32" t="n">
        <v>0</v>
      </c>
      <c r="P385" s="32" t="n">
        <v>0</v>
      </c>
      <c r="Q385" s="32" t="n">
        <v>0</v>
      </c>
      <c r="R385" s="32" t="n">
        <v>0</v>
      </c>
      <c r="S385" s="32" t="n">
        <v>0</v>
      </c>
      <c r="T385" s="32" t="n">
        <v>1</v>
      </c>
      <c r="U385" s="32" t="n">
        <v>0</v>
      </c>
      <c r="V385" s="32" t="n">
        <v>0</v>
      </c>
      <c r="W385" s="32" t="n">
        <v>0</v>
      </c>
      <c r="X385" s="32" t="n">
        <v>0</v>
      </c>
      <c r="Y385" s="32" t="n">
        <v>0</v>
      </c>
      <c r="Z385" s="32" t="n">
        <v>0</v>
      </c>
      <c r="AA385" s="32" t="n">
        <v>1</v>
      </c>
      <c r="AB385" s="32" t="n">
        <v>0</v>
      </c>
      <c r="AC385" s="30" t="s">
        <v>486</v>
      </c>
      <c r="AD385" s="37" t="n">
        <f aca="false">B385-B384</f>
        <v>0.125</v>
      </c>
    </row>
    <row r="386" customFormat="false" ht="15" hidden="false" customHeight="false" outlineLevel="0" collapsed="false">
      <c r="A386" s="33" t="n">
        <v>383</v>
      </c>
      <c r="B386" s="34" t="n">
        <f aca="false">Summary!$B$5+IF(D386=1,0,IF(C386=1,Summary!$B$6,NA()))+(MATCH(1,E386:L386,0)-1)*Summary!$B$7+(MATCH(1,M386:T386,0)-1)*Summary!$B$8+(MATCH(1,U386:AB386,0)-1)*Summary!$B$9</f>
        <v>77.875</v>
      </c>
      <c r="C386" s="35" t="n">
        <v>0</v>
      </c>
      <c r="D386" s="35" t="n">
        <v>1</v>
      </c>
      <c r="E386" s="35" t="n">
        <v>0</v>
      </c>
      <c r="F386" s="35" t="n">
        <v>0</v>
      </c>
      <c r="G386" s="35" t="n">
        <v>0</v>
      </c>
      <c r="H386" s="35" t="n">
        <v>0</v>
      </c>
      <c r="I386" s="35" t="n">
        <v>0</v>
      </c>
      <c r="J386" s="35" t="n">
        <v>1</v>
      </c>
      <c r="K386" s="35" t="n">
        <v>0</v>
      </c>
      <c r="L386" s="35" t="n">
        <v>0</v>
      </c>
      <c r="M386" s="35" t="n">
        <v>0</v>
      </c>
      <c r="N386" s="35" t="n">
        <v>0</v>
      </c>
      <c r="O386" s="35" t="n">
        <v>0</v>
      </c>
      <c r="P386" s="35" t="n">
        <v>0</v>
      </c>
      <c r="Q386" s="35" t="n">
        <v>0</v>
      </c>
      <c r="R386" s="35" t="n">
        <v>0</v>
      </c>
      <c r="S386" s="35" t="n">
        <v>0</v>
      </c>
      <c r="T386" s="35" t="n">
        <v>1</v>
      </c>
      <c r="U386" s="35" t="n">
        <v>0</v>
      </c>
      <c r="V386" s="35" t="n">
        <v>0</v>
      </c>
      <c r="W386" s="35" t="n">
        <v>0</v>
      </c>
      <c r="X386" s="35" t="n">
        <v>0</v>
      </c>
      <c r="Y386" s="35" t="n">
        <v>0</v>
      </c>
      <c r="Z386" s="35" t="n">
        <v>0</v>
      </c>
      <c r="AA386" s="35" t="n">
        <v>0</v>
      </c>
      <c r="AB386" s="35" t="n">
        <v>1</v>
      </c>
      <c r="AC386" s="33" t="s">
        <v>487</v>
      </c>
      <c r="AD386" s="36" t="n">
        <f aca="false">B386-B385</f>
        <v>0.125</v>
      </c>
    </row>
    <row r="387" customFormat="false" ht="15" hidden="false" customHeight="false" outlineLevel="0" collapsed="false">
      <c r="A387" s="30" t="n">
        <v>384</v>
      </c>
      <c r="B387" s="31" t="n">
        <f aca="false">Summary!$B$5+IF(D387=1,0,IF(C387=1,Summary!$B$6,NA()))+(MATCH(1,E387:L387,0)-1)*Summary!$B$7+(MATCH(1,M387:T387,0)-1)*Summary!$B$8+(MATCH(1,U387:AB387,0)-1)*Summary!$B$9</f>
        <v>78</v>
      </c>
      <c r="C387" s="32" t="n">
        <v>0</v>
      </c>
      <c r="D387" s="32" t="n">
        <v>1</v>
      </c>
      <c r="E387" s="32" t="n">
        <v>0</v>
      </c>
      <c r="F387" s="32" t="n">
        <v>0</v>
      </c>
      <c r="G387" s="32" t="n">
        <v>0</v>
      </c>
      <c r="H387" s="32" t="n">
        <v>0</v>
      </c>
      <c r="I387" s="32" t="n">
        <v>0</v>
      </c>
      <c r="J387" s="32" t="n">
        <v>0</v>
      </c>
      <c r="K387" s="32" t="n">
        <v>1</v>
      </c>
      <c r="L387" s="32" t="n">
        <v>0</v>
      </c>
      <c r="M387" s="32" t="n">
        <v>1</v>
      </c>
      <c r="N387" s="32" t="n">
        <v>0</v>
      </c>
      <c r="O387" s="32" t="n">
        <v>0</v>
      </c>
      <c r="P387" s="32" t="n">
        <v>0</v>
      </c>
      <c r="Q387" s="32" t="n">
        <v>0</v>
      </c>
      <c r="R387" s="32" t="n">
        <v>0</v>
      </c>
      <c r="S387" s="32" t="n">
        <v>0</v>
      </c>
      <c r="T387" s="32" t="n">
        <v>0</v>
      </c>
      <c r="U387" s="32" t="n">
        <v>1</v>
      </c>
      <c r="V387" s="32" t="n">
        <v>0</v>
      </c>
      <c r="W387" s="32" t="n">
        <v>0</v>
      </c>
      <c r="X387" s="32" t="n">
        <v>0</v>
      </c>
      <c r="Y387" s="32" t="n">
        <v>0</v>
      </c>
      <c r="Z387" s="32" t="n">
        <v>0</v>
      </c>
      <c r="AA387" s="32" t="n">
        <v>0</v>
      </c>
      <c r="AB387" s="32" t="n">
        <v>0</v>
      </c>
      <c r="AC387" s="30" t="s">
        <v>488</v>
      </c>
      <c r="AD387" s="37" t="n">
        <f aca="false">B387-B386</f>
        <v>0.125</v>
      </c>
    </row>
    <row r="388" customFormat="false" ht="15" hidden="false" customHeight="false" outlineLevel="0" collapsed="false">
      <c r="A388" s="33" t="n">
        <v>385</v>
      </c>
      <c r="B388" s="34" t="n">
        <f aca="false">Summary!$B$5+IF(D388=1,0,IF(C388=1,Summary!$B$6,NA()))+(MATCH(1,E388:L388,0)-1)*Summary!$B$7+(MATCH(1,M388:T388,0)-1)*Summary!$B$8+(MATCH(1,U388:AB388,0)-1)*Summary!$B$9</f>
        <v>78.125</v>
      </c>
      <c r="C388" s="35" t="n">
        <v>0</v>
      </c>
      <c r="D388" s="35" t="n">
        <v>1</v>
      </c>
      <c r="E388" s="35" t="n">
        <v>0</v>
      </c>
      <c r="F388" s="35" t="n">
        <v>0</v>
      </c>
      <c r="G388" s="35" t="n">
        <v>0</v>
      </c>
      <c r="H388" s="35" t="n">
        <v>0</v>
      </c>
      <c r="I388" s="35" t="n">
        <v>0</v>
      </c>
      <c r="J388" s="35" t="n">
        <v>0</v>
      </c>
      <c r="K388" s="35" t="n">
        <v>1</v>
      </c>
      <c r="L388" s="35" t="n">
        <v>0</v>
      </c>
      <c r="M388" s="35" t="n">
        <v>1</v>
      </c>
      <c r="N388" s="35" t="n">
        <v>0</v>
      </c>
      <c r="O388" s="35" t="n">
        <v>0</v>
      </c>
      <c r="P388" s="35" t="n">
        <v>0</v>
      </c>
      <c r="Q388" s="35" t="n">
        <v>0</v>
      </c>
      <c r="R388" s="35" t="n">
        <v>0</v>
      </c>
      <c r="S388" s="35" t="n">
        <v>0</v>
      </c>
      <c r="T388" s="35" t="n">
        <v>0</v>
      </c>
      <c r="U388" s="35" t="n">
        <v>0</v>
      </c>
      <c r="V388" s="35" t="n">
        <v>1</v>
      </c>
      <c r="W388" s="35" t="n">
        <v>0</v>
      </c>
      <c r="X388" s="35" t="n">
        <v>0</v>
      </c>
      <c r="Y388" s="35" t="n">
        <v>0</v>
      </c>
      <c r="Z388" s="35" t="n">
        <v>0</v>
      </c>
      <c r="AA388" s="35" t="n">
        <v>0</v>
      </c>
      <c r="AB388" s="35" t="n">
        <v>0</v>
      </c>
      <c r="AC388" s="33" t="s">
        <v>489</v>
      </c>
      <c r="AD388" s="36" t="n">
        <f aca="false">B388-B387</f>
        <v>0.125</v>
      </c>
    </row>
    <row r="389" customFormat="false" ht="15" hidden="false" customHeight="false" outlineLevel="0" collapsed="false">
      <c r="A389" s="30" t="n">
        <v>386</v>
      </c>
      <c r="B389" s="31" t="n">
        <f aca="false">Summary!$B$5+IF(D389=1,0,IF(C389=1,Summary!$B$6,NA()))+(MATCH(1,E389:L389,0)-1)*Summary!$B$7+(MATCH(1,M389:T389,0)-1)*Summary!$B$8+(MATCH(1,U389:AB389,0)-1)*Summary!$B$9</f>
        <v>78.25</v>
      </c>
      <c r="C389" s="32" t="n">
        <v>0</v>
      </c>
      <c r="D389" s="32" t="n">
        <v>1</v>
      </c>
      <c r="E389" s="32" t="n">
        <v>0</v>
      </c>
      <c r="F389" s="32" t="n">
        <v>0</v>
      </c>
      <c r="G389" s="32" t="n">
        <v>0</v>
      </c>
      <c r="H389" s="32" t="n">
        <v>0</v>
      </c>
      <c r="I389" s="32" t="n">
        <v>0</v>
      </c>
      <c r="J389" s="32" t="n">
        <v>0</v>
      </c>
      <c r="K389" s="32" t="n">
        <v>1</v>
      </c>
      <c r="L389" s="32" t="n">
        <v>0</v>
      </c>
      <c r="M389" s="32" t="n">
        <v>1</v>
      </c>
      <c r="N389" s="32" t="n">
        <v>0</v>
      </c>
      <c r="O389" s="32" t="n">
        <v>0</v>
      </c>
      <c r="P389" s="32" t="n">
        <v>0</v>
      </c>
      <c r="Q389" s="32" t="n">
        <v>0</v>
      </c>
      <c r="R389" s="32" t="n">
        <v>0</v>
      </c>
      <c r="S389" s="32" t="n">
        <v>0</v>
      </c>
      <c r="T389" s="32" t="n">
        <v>0</v>
      </c>
      <c r="U389" s="32" t="n">
        <v>0</v>
      </c>
      <c r="V389" s="32" t="n">
        <v>0</v>
      </c>
      <c r="W389" s="32" t="n">
        <v>1</v>
      </c>
      <c r="X389" s="32" t="n">
        <v>0</v>
      </c>
      <c r="Y389" s="32" t="n">
        <v>0</v>
      </c>
      <c r="Z389" s="32" t="n">
        <v>0</v>
      </c>
      <c r="AA389" s="32" t="n">
        <v>0</v>
      </c>
      <c r="AB389" s="32" t="n">
        <v>0</v>
      </c>
      <c r="AC389" s="30" t="s">
        <v>490</v>
      </c>
      <c r="AD389" s="37" t="n">
        <f aca="false">B389-B388</f>
        <v>0.125</v>
      </c>
    </row>
    <row r="390" customFormat="false" ht="15" hidden="false" customHeight="false" outlineLevel="0" collapsed="false">
      <c r="A390" s="33" t="n">
        <v>387</v>
      </c>
      <c r="B390" s="34" t="n">
        <f aca="false">Summary!$B$5+IF(D390=1,0,IF(C390=1,Summary!$B$6,NA()))+(MATCH(1,E390:L390,0)-1)*Summary!$B$7+(MATCH(1,M390:T390,0)-1)*Summary!$B$8+(MATCH(1,U390:AB390,0)-1)*Summary!$B$9</f>
        <v>78.375</v>
      </c>
      <c r="C390" s="35" t="n">
        <v>0</v>
      </c>
      <c r="D390" s="35" t="n">
        <v>1</v>
      </c>
      <c r="E390" s="35" t="n">
        <v>0</v>
      </c>
      <c r="F390" s="35" t="n">
        <v>0</v>
      </c>
      <c r="G390" s="35" t="n">
        <v>0</v>
      </c>
      <c r="H390" s="35" t="n">
        <v>0</v>
      </c>
      <c r="I390" s="35" t="n">
        <v>0</v>
      </c>
      <c r="J390" s="35" t="n">
        <v>0</v>
      </c>
      <c r="K390" s="35" t="n">
        <v>1</v>
      </c>
      <c r="L390" s="35" t="n">
        <v>0</v>
      </c>
      <c r="M390" s="35" t="n">
        <v>1</v>
      </c>
      <c r="N390" s="35" t="n">
        <v>0</v>
      </c>
      <c r="O390" s="35" t="n">
        <v>0</v>
      </c>
      <c r="P390" s="35" t="n">
        <v>0</v>
      </c>
      <c r="Q390" s="35" t="n">
        <v>0</v>
      </c>
      <c r="R390" s="35" t="n">
        <v>0</v>
      </c>
      <c r="S390" s="35" t="n">
        <v>0</v>
      </c>
      <c r="T390" s="35" t="n">
        <v>0</v>
      </c>
      <c r="U390" s="35" t="n">
        <v>0</v>
      </c>
      <c r="V390" s="35" t="n">
        <v>0</v>
      </c>
      <c r="W390" s="35" t="n">
        <v>0</v>
      </c>
      <c r="X390" s="35" t="n">
        <v>1</v>
      </c>
      <c r="Y390" s="35" t="n">
        <v>0</v>
      </c>
      <c r="Z390" s="35" t="n">
        <v>0</v>
      </c>
      <c r="AA390" s="35" t="n">
        <v>0</v>
      </c>
      <c r="AB390" s="35" t="n">
        <v>0</v>
      </c>
      <c r="AC390" s="33" t="s">
        <v>491</v>
      </c>
      <c r="AD390" s="36" t="n">
        <f aca="false">B390-B389</f>
        <v>0.125</v>
      </c>
    </row>
    <row r="391" customFormat="false" ht="15" hidden="false" customHeight="false" outlineLevel="0" collapsed="false">
      <c r="A391" s="30" t="n">
        <v>388</v>
      </c>
      <c r="B391" s="31" t="n">
        <f aca="false">Summary!$B$5+IF(D391=1,0,IF(C391=1,Summary!$B$6,NA()))+(MATCH(1,E391:L391,0)-1)*Summary!$B$7+(MATCH(1,M391:T391,0)-1)*Summary!$B$8+(MATCH(1,U391:AB391,0)-1)*Summary!$B$9</f>
        <v>78.5</v>
      </c>
      <c r="C391" s="32" t="n">
        <v>0</v>
      </c>
      <c r="D391" s="32" t="n">
        <v>1</v>
      </c>
      <c r="E391" s="32" t="n">
        <v>0</v>
      </c>
      <c r="F391" s="32" t="n">
        <v>0</v>
      </c>
      <c r="G391" s="32" t="n">
        <v>0</v>
      </c>
      <c r="H391" s="32" t="n">
        <v>0</v>
      </c>
      <c r="I391" s="32" t="n">
        <v>0</v>
      </c>
      <c r="J391" s="32" t="n">
        <v>0</v>
      </c>
      <c r="K391" s="32" t="n">
        <v>1</v>
      </c>
      <c r="L391" s="32" t="n">
        <v>0</v>
      </c>
      <c r="M391" s="32" t="n">
        <v>1</v>
      </c>
      <c r="N391" s="32" t="n">
        <v>0</v>
      </c>
      <c r="O391" s="32" t="n">
        <v>0</v>
      </c>
      <c r="P391" s="32" t="n">
        <v>0</v>
      </c>
      <c r="Q391" s="32" t="n">
        <v>0</v>
      </c>
      <c r="R391" s="32" t="n">
        <v>0</v>
      </c>
      <c r="S391" s="32" t="n">
        <v>0</v>
      </c>
      <c r="T391" s="32" t="n">
        <v>0</v>
      </c>
      <c r="U391" s="32" t="n">
        <v>0</v>
      </c>
      <c r="V391" s="32" t="n">
        <v>0</v>
      </c>
      <c r="W391" s="32" t="n">
        <v>0</v>
      </c>
      <c r="X391" s="32" t="n">
        <v>0</v>
      </c>
      <c r="Y391" s="32" t="n">
        <v>1</v>
      </c>
      <c r="Z391" s="32" t="n">
        <v>0</v>
      </c>
      <c r="AA391" s="32" t="n">
        <v>0</v>
      </c>
      <c r="AB391" s="32" t="n">
        <v>0</v>
      </c>
      <c r="AC391" s="30" t="s">
        <v>492</v>
      </c>
      <c r="AD391" s="37" t="n">
        <f aca="false">B391-B390</f>
        <v>0.125</v>
      </c>
    </row>
    <row r="392" customFormat="false" ht="15" hidden="false" customHeight="false" outlineLevel="0" collapsed="false">
      <c r="A392" s="33" t="n">
        <v>389</v>
      </c>
      <c r="B392" s="34" t="n">
        <f aca="false">Summary!$B$5+IF(D392=1,0,IF(C392=1,Summary!$B$6,NA()))+(MATCH(1,E392:L392,0)-1)*Summary!$B$7+(MATCH(1,M392:T392,0)-1)*Summary!$B$8+(MATCH(1,U392:AB392,0)-1)*Summary!$B$9</f>
        <v>78.625</v>
      </c>
      <c r="C392" s="35" t="n">
        <v>0</v>
      </c>
      <c r="D392" s="35" t="n">
        <v>1</v>
      </c>
      <c r="E392" s="35" t="n">
        <v>0</v>
      </c>
      <c r="F392" s="35" t="n">
        <v>0</v>
      </c>
      <c r="G392" s="35" t="n">
        <v>0</v>
      </c>
      <c r="H392" s="35" t="n">
        <v>0</v>
      </c>
      <c r="I392" s="35" t="n">
        <v>0</v>
      </c>
      <c r="J392" s="35" t="n">
        <v>0</v>
      </c>
      <c r="K392" s="35" t="n">
        <v>1</v>
      </c>
      <c r="L392" s="35" t="n">
        <v>0</v>
      </c>
      <c r="M392" s="35" t="n">
        <v>1</v>
      </c>
      <c r="N392" s="35" t="n">
        <v>0</v>
      </c>
      <c r="O392" s="35" t="n">
        <v>0</v>
      </c>
      <c r="P392" s="35" t="n">
        <v>0</v>
      </c>
      <c r="Q392" s="35" t="n">
        <v>0</v>
      </c>
      <c r="R392" s="35" t="n">
        <v>0</v>
      </c>
      <c r="S392" s="35" t="n">
        <v>0</v>
      </c>
      <c r="T392" s="35" t="n">
        <v>0</v>
      </c>
      <c r="U392" s="35" t="n">
        <v>0</v>
      </c>
      <c r="V392" s="35" t="n">
        <v>0</v>
      </c>
      <c r="W392" s="35" t="n">
        <v>0</v>
      </c>
      <c r="X392" s="35" t="n">
        <v>0</v>
      </c>
      <c r="Y392" s="35" t="n">
        <v>0</v>
      </c>
      <c r="Z392" s="35" t="n">
        <v>1</v>
      </c>
      <c r="AA392" s="35" t="n">
        <v>0</v>
      </c>
      <c r="AB392" s="35" t="n">
        <v>0</v>
      </c>
      <c r="AC392" s="33" t="s">
        <v>493</v>
      </c>
      <c r="AD392" s="36" t="n">
        <f aca="false">B392-B391</f>
        <v>0.125</v>
      </c>
    </row>
    <row r="393" customFormat="false" ht="15" hidden="false" customHeight="false" outlineLevel="0" collapsed="false">
      <c r="A393" s="30" t="n">
        <v>390</v>
      </c>
      <c r="B393" s="31" t="n">
        <f aca="false">Summary!$B$5+IF(D393=1,0,IF(C393=1,Summary!$B$6,NA()))+(MATCH(1,E393:L393,0)-1)*Summary!$B$7+(MATCH(1,M393:T393,0)-1)*Summary!$B$8+(MATCH(1,U393:AB393,0)-1)*Summary!$B$9</f>
        <v>78.75</v>
      </c>
      <c r="C393" s="32" t="n">
        <v>0</v>
      </c>
      <c r="D393" s="32" t="n">
        <v>1</v>
      </c>
      <c r="E393" s="32" t="n">
        <v>0</v>
      </c>
      <c r="F393" s="32" t="n">
        <v>0</v>
      </c>
      <c r="G393" s="32" t="n">
        <v>0</v>
      </c>
      <c r="H393" s="32" t="n">
        <v>0</v>
      </c>
      <c r="I393" s="32" t="n">
        <v>0</v>
      </c>
      <c r="J393" s="32" t="n">
        <v>0</v>
      </c>
      <c r="K393" s="32" t="n">
        <v>1</v>
      </c>
      <c r="L393" s="32" t="n">
        <v>0</v>
      </c>
      <c r="M393" s="32" t="n">
        <v>1</v>
      </c>
      <c r="N393" s="32" t="n">
        <v>0</v>
      </c>
      <c r="O393" s="32" t="n">
        <v>0</v>
      </c>
      <c r="P393" s="32" t="n">
        <v>0</v>
      </c>
      <c r="Q393" s="32" t="n">
        <v>0</v>
      </c>
      <c r="R393" s="32" t="n">
        <v>0</v>
      </c>
      <c r="S393" s="32" t="n">
        <v>0</v>
      </c>
      <c r="T393" s="32" t="n">
        <v>0</v>
      </c>
      <c r="U393" s="32" t="n">
        <v>0</v>
      </c>
      <c r="V393" s="32" t="n">
        <v>0</v>
      </c>
      <c r="W393" s="32" t="n">
        <v>0</v>
      </c>
      <c r="X393" s="32" t="n">
        <v>0</v>
      </c>
      <c r="Y393" s="32" t="n">
        <v>0</v>
      </c>
      <c r="Z393" s="32" t="n">
        <v>0</v>
      </c>
      <c r="AA393" s="32" t="n">
        <v>1</v>
      </c>
      <c r="AB393" s="32" t="n">
        <v>0</v>
      </c>
      <c r="AC393" s="30" t="s">
        <v>494</v>
      </c>
      <c r="AD393" s="37" t="n">
        <f aca="false">B393-B392</f>
        <v>0.125</v>
      </c>
    </row>
    <row r="394" customFormat="false" ht="15" hidden="false" customHeight="false" outlineLevel="0" collapsed="false">
      <c r="A394" s="33" t="n">
        <v>391</v>
      </c>
      <c r="B394" s="34" t="n">
        <f aca="false">Summary!$B$5+IF(D394=1,0,IF(C394=1,Summary!$B$6,NA()))+(MATCH(1,E394:L394,0)-1)*Summary!$B$7+(MATCH(1,M394:T394,0)-1)*Summary!$B$8+(MATCH(1,U394:AB394,0)-1)*Summary!$B$9</f>
        <v>78.875</v>
      </c>
      <c r="C394" s="35" t="n">
        <v>0</v>
      </c>
      <c r="D394" s="35" t="n">
        <v>1</v>
      </c>
      <c r="E394" s="35" t="n">
        <v>0</v>
      </c>
      <c r="F394" s="35" t="n">
        <v>0</v>
      </c>
      <c r="G394" s="35" t="n">
        <v>0</v>
      </c>
      <c r="H394" s="35" t="n">
        <v>0</v>
      </c>
      <c r="I394" s="35" t="n">
        <v>0</v>
      </c>
      <c r="J394" s="35" t="n">
        <v>0</v>
      </c>
      <c r="K394" s="35" t="n">
        <v>1</v>
      </c>
      <c r="L394" s="35" t="n">
        <v>0</v>
      </c>
      <c r="M394" s="35" t="n">
        <v>1</v>
      </c>
      <c r="N394" s="35" t="n">
        <v>0</v>
      </c>
      <c r="O394" s="35" t="n">
        <v>0</v>
      </c>
      <c r="P394" s="35" t="n">
        <v>0</v>
      </c>
      <c r="Q394" s="35" t="n">
        <v>0</v>
      </c>
      <c r="R394" s="35" t="n">
        <v>0</v>
      </c>
      <c r="S394" s="35" t="n">
        <v>0</v>
      </c>
      <c r="T394" s="35" t="n">
        <v>0</v>
      </c>
      <c r="U394" s="35" t="n">
        <v>0</v>
      </c>
      <c r="V394" s="35" t="n">
        <v>0</v>
      </c>
      <c r="W394" s="35" t="n">
        <v>0</v>
      </c>
      <c r="X394" s="35" t="n">
        <v>0</v>
      </c>
      <c r="Y394" s="35" t="n">
        <v>0</v>
      </c>
      <c r="Z394" s="35" t="n">
        <v>0</v>
      </c>
      <c r="AA394" s="35" t="n">
        <v>0</v>
      </c>
      <c r="AB394" s="35" t="n">
        <v>1</v>
      </c>
      <c r="AC394" s="33" t="s">
        <v>495</v>
      </c>
      <c r="AD394" s="36" t="n">
        <f aca="false">B394-B393</f>
        <v>0.125</v>
      </c>
    </row>
    <row r="395" customFormat="false" ht="15" hidden="false" customHeight="false" outlineLevel="0" collapsed="false">
      <c r="A395" s="30" t="n">
        <v>392</v>
      </c>
      <c r="B395" s="31" t="n">
        <f aca="false">Summary!$B$5+IF(D395=1,0,IF(C395=1,Summary!$B$6,NA()))+(MATCH(1,E395:L395,0)-1)*Summary!$B$7+(MATCH(1,M395:T395,0)-1)*Summary!$B$8+(MATCH(1,U395:AB395,0)-1)*Summary!$B$9</f>
        <v>79</v>
      </c>
      <c r="C395" s="32" t="n">
        <v>0</v>
      </c>
      <c r="D395" s="32" t="n">
        <v>1</v>
      </c>
      <c r="E395" s="32" t="n">
        <v>0</v>
      </c>
      <c r="F395" s="32" t="n">
        <v>0</v>
      </c>
      <c r="G395" s="32" t="n">
        <v>0</v>
      </c>
      <c r="H395" s="32" t="n">
        <v>0</v>
      </c>
      <c r="I395" s="32" t="n">
        <v>0</v>
      </c>
      <c r="J395" s="32" t="n">
        <v>0</v>
      </c>
      <c r="K395" s="32" t="n">
        <v>1</v>
      </c>
      <c r="L395" s="32" t="n">
        <v>0</v>
      </c>
      <c r="M395" s="32" t="n">
        <v>0</v>
      </c>
      <c r="N395" s="32" t="n">
        <v>1</v>
      </c>
      <c r="O395" s="32" t="n">
        <v>0</v>
      </c>
      <c r="P395" s="32" t="n">
        <v>0</v>
      </c>
      <c r="Q395" s="32" t="n">
        <v>0</v>
      </c>
      <c r="R395" s="32" t="n">
        <v>0</v>
      </c>
      <c r="S395" s="32" t="n">
        <v>0</v>
      </c>
      <c r="T395" s="32" t="n">
        <v>0</v>
      </c>
      <c r="U395" s="32" t="n">
        <v>1</v>
      </c>
      <c r="V395" s="32" t="n">
        <v>0</v>
      </c>
      <c r="W395" s="32" t="n">
        <v>0</v>
      </c>
      <c r="X395" s="32" t="n">
        <v>0</v>
      </c>
      <c r="Y395" s="32" t="n">
        <v>0</v>
      </c>
      <c r="Z395" s="32" t="n">
        <v>0</v>
      </c>
      <c r="AA395" s="32" t="n">
        <v>0</v>
      </c>
      <c r="AB395" s="32" t="n">
        <v>0</v>
      </c>
      <c r="AC395" s="30" t="s">
        <v>496</v>
      </c>
      <c r="AD395" s="37" t="n">
        <f aca="false">B395-B394</f>
        <v>0.125</v>
      </c>
    </row>
    <row r="396" customFormat="false" ht="15" hidden="false" customHeight="false" outlineLevel="0" collapsed="false">
      <c r="A396" s="33" t="n">
        <v>393</v>
      </c>
      <c r="B396" s="34" t="n">
        <f aca="false">Summary!$B$5+IF(D396=1,0,IF(C396=1,Summary!$B$6,NA()))+(MATCH(1,E396:L396,0)-1)*Summary!$B$7+(MATCH(1,M396:T396,0)-1)*Summary!$B$8+(MATCH(1,U396:AB396,0)-1)*Summary!$B$9</f>
        <v>79.125</v>
      </c>
      <c r="C396" s="35" t="n">
        <v>0</v>
      </c>
      <c r="D396" s="35" t="n">
        <v>1</v>
      </c>
      <c r="E396" s="35" t="n">
        <v>0</v>
      </c>
      <c r="F396" s="35" t="n">
        <v>0</v>
      </c>
      <c r="G396" s="35" t="n">
        <v>0</v>
      </c>
      <c r="H396" s="35" t="n">
        <v>0</v>
      </c>
      <c r="I396" s="35" t="n">
        <v>0</v>
      </c>
      <c r="J396" s="35" t="n">
        <v>0</v>
      </c>
      <c r="K396" s="35" t="n">
        <v>1</v>
      </c>
      <c r="L396" s="35" t="n">
        <v>0</v>
      </c>
      <c r="M396" s="35" t="n">
        <v>0</v>
      </c>
      <c r="N396" s="35" t="n">
        <v>1</v>
      </c>
      <c r="O396" s="35" t="n">
        <v>0</v>
      </c>
      <c r="P396" s="35" t="n">
        <v>0</v>
      </c>
      <c r="Q396" s="35" t="n">
        <v>0</v>
      </c>
      <c r="R396" s="35" t="n">
        <v>0</v>
      </c>
      <c r="S396" s="35" t="n">
        <v>0</v>
      </c>
      <c r="T396" s="35" t="n">
        <v>0</v>
      </c>
      <c r="U396" s="35" t="n">
        <v>0</v>
      </c>
      <c r="V396" s="35" t="n">
        <v>1</v>
      </c>
      <c r="W396" s="35" t="n">
        <v>0</v>
      </c>
      <c r="X396" s="35" t="n">
        <v>0</v>
      </c>
      <c r="Y396" s="35" t="n">
        <v>0</v>
      </c>
      <c r="Z396" s="35" t="n">
        <v>0</v>
      </c>
      <c r="AA396" s="35" t="n">
        <v>0</v>
      </c>
      <c r="AB396" s="35" t="n">
        <v>0</v>
      </c>
      <c r="AC396" s="33" t="s">
        <v>497</v>
      </c>
      <c r="AD396" s="36" t="n">
        <f aca="false">B396-B395</f>
        <v>0.125</v>
      </c>
    </row>
    <row r="397" customFormat="false" ht="15" hidden="false" customHeight="false" outlineLevel="0" collapsed="false">
      <c r="A397" s="30" t="n">
        <v>394</v>
      </c>
      <c r="B397" s="31" t="n">
        <f aca="false">Summary!$B$5+IF(D397=1,0,IF(C397=1,Summary!$B$6,NA()))+(MATCH(1,E397:L397,0)-1)*Summary!$B$7+(MATCH(1,M397:T397,0)-1)*Summary!$B$8+(MATCH(1,U397:AB397,0)-1)*Summary!$B$9</f>
        <v>79.25</v>
      </c>
      <c r="C397" s="32" t="n">
        <v>0</v>
      </c>
      <c r="D397" s="32" t="n">
        <v>1</v>
      </c>
      <c r="E397" s="32" t="n">
        <v>0</v>
      </c>
      <c r="F397" s="32" t="n">
        <v>0</v>
      </c>
      <c r="G397" s="32" t="n">
        <v>0</v>
      </c>
      <c r="H397" s="32" t="n">
        <v>0</v>
      </c>
      <c r="I397" s="32" t="n">
        <v>0</v>
      </c>
      <c r="J397" s="32" t="n">
        <v>0</v>
      </c>
      <c r="K397" s="32" t="n">
        <v>1</v>
      </c>
      <c r="L397" s="32" t="n">
        <v>0</v>
      </c>
      <c r="M397" s="32" t="n">
        <v>0</v>
      </c>
      <c r="N397" s="32" t="n">
        <v>1</v>
      </c>
      <c r="O397" s="32" t="n">
        <v>0</v>
      </c>
      <c r="P397" s="32" t="n">
        <v>0</v>
      </c>
      <c r="Q397" s="32" t="n">
        <v>0</v>
      </c>
      <c r="R397" s="32" t="n">
        <v>0</v>
      </c>
      <c r="S397" s="32" t="n">
        <v>0</v>
      </c>
      <c r="T397" s="32" t="n">
        <v>0</v>
      </c>
      <c r="U397" s="32" t="n">
        <v>0</v>
      </c>
      <c r="V397" s="32" t="n">
        <v>0</v>
      </c>
      <c r="W397" s="32" t="n">
        <v>1</v>
      </c>
      <c r="X397" s="32" t="n">
        <v>0</v>
      </c>
      <c r="Y397" s="32" t="n">
        <v>0</v>
      </c>
      <c r="Z397" s="32" t="n">
        <v>0</v>
      </c>
      <c r="AA397" s="32" t="n">
        <v>0</v>
      </c>
      <c r="AB397" s="32" t="n">
        <v>0</v>
      </c>
      <c r="AC397" s="30" t="s">
        <v>498</v>
      </c>
      <c r="AD397" s="37" t="n">
        <f aca="false">B397-B396</f>
        <v>0.125</v>
      </c>
    </row>
    <row r="398" customFormat="false" ht="15" hidden="false" customHeight="false" outlineLevel="0" collapsed="false">
      <c r="A398" s="33" t="n">
        <v>395</v>
      </c>
      <c r="B398" s="34" t="n">
        <f aca="false">Summary!$B$5+IF(D398=1,0,IF(C398=1,Summary!$B$6,NA()))+(MATCH(1,E398:L398,0)-1)*Summary!$B$7+(MATCH(1,M398:T398,0)-1)*Summary!$B$8+(MATCH(1,U398:AB398,0)-1)*Summary!$B$9</f>
        <v>79.375</v>
      </c>
      <c r="C398" s="35" t="n">
        <v>0</v>
      </c>
      <c r="D398" s="35" t="n">
        <v>1</v>
      </c>
      <c r="E398" s="35" t="n">
        <v>0</v>
      </c>
      <c r="F398" s="35" t="n">
        <v>0</v>
      </c>
      <c r="G398" s="35" t="n">
        <v>0</v>
      </c>
      <c r="H398" s="35" t="n">
        <v>0</v>
      </c>
      <c r="I398" s="35" t="n">
        <v>0</v>
      </c>
      <c r="J398" s="35" t="n">
        <v>0</v>
      </c>
      <c r="K398" s="35" t="n">
        <v>1</v>
      </c>
      <c r="L398" s="35" t="n">
        <v>0</v>
      </c>
      <c r="M398" s="35" t="n">
        <v>0</v>
      </c>
      <c r="N398" s="35" t="n">
        <v>1</v>
      </c>
      <c r="O398" s="35" t="n">
        <v>0</v>
      </c>
      <c r="P398" s="35" t="n">
        <v>0</v>
      </c>
      <c r="Q398" s="35" t="n">
        <v>0</v>
      </c>
      <c r="R398" s="35" t="n">
        <v>0</v>
      </c>
      <c r="S398" s="35" t="n">
        <v>0</v>
      </c>
      <c r="T398" s="35" t="n">
        <v>0</v>
      </c>
      <c r="U398" s="35" t="n">
        <v>0</v>
      </c>
      <c r="V398" s="35" t="n">
        <v>0</v>
      </c>
      <c r="W398" s="35" t="n">
        <v>0</v>
      </c>
      <c r="X398" s="35" t="n">
        <v>1</v>
      </c>
      <c r="Y398" s="35" t="n">
        <v>0</v>
      </c>
      <c r="Z398" s="35" t="n">
        <v>0</v>
      </c>
      <c r="AA398" s="35" t="n">
        <v>0</v>
      </c>
      <c r="AB398" s="35" t="n">
        <v>0</v>
      </c>
      <c r="AC398" s="33" t="s">
        <v>499</v>
      </c>
      <c r="AD398" s="36" t="n">
        <f aca="false">B398-B397</f>
        <v>0.125</v>
      </c>
    </row>
    <row r="399" customFormat="false" ht="15" hidden="false" customHeight="false" outlineLevel="0" collapsed="false">
      <c r="A399" s="30" t="n">
        <v>396</v>
      </c>
      <c r="B399" s="31" t="n">
        <f aca="false">Summary!$B$5+IF(D399=1,0,IF(C399=1,Summary!$B$6,NA()))+(MATCH(1,E399:L399,0)-1)*Summary!$B$7+(MATCH(1,M399:T399,0)-1)*Summary!$B$8+(MATCH(1,U399:AB399,0)-1)*Summary!$B$9</f>
        <v>79.5</v>
      </c>
      <c r="C399" s="32" t="n">
        <v>0</v>
      </c>
      <c r="D399" s="32" t="n">
        <v>1</v>
      </c>
      <c r="E399" s="32" t="n">
        <v>0</v>
      </c>
      <c r="F399" s="32" t="n">
        <v>0</v>
      </c>
      <c r="G399" s="32" t="n">
        <v>0</v>
      </c>
      <c r="H399" s="32" t="n">
        <v>0</v>
      </c>
      <c r="I399" s="32" t="n">
        <v>0</v>
      </c>
      <c r="J399" s="32" t="n">
        <v>0</v>
      </c>
      <c r="K399" s="32" t="n">
        <v>1</v>
      </c>
      <c r="L399" s="32" t="n">
        <v>0</v>
      </c>
      <c r="M399" s="32" t="n">
        <v>0</v>
      </c>
      <c r="N399" s="32" t="n">
        <v>1</v>
      </c>
      <c r="O399" s="32" t="n">
        <v>0</v>
      </c>
      <c r="P399" s="32" t="n">
        <v>0</v>
      </c>
      <c r="Q399" s="32" t="n">
        <v>0</v>
      </c>
      <c r="R399" s="32" t="n">
        <v>0</v>
      </c>
      <c r="S399" s="32" t="n">
        <v>0</v>
      </c>
      <c r="T399" s="32" t="n">
        <v>0</v>
      </c>
      <c r="U399" s="32" t="n">
        <v>0</v>
      </c>
      <c r="V399" s="32" t="n">
        <v>0</v>
      </c>
      <c r="W399" s="32" t="n">
        <v>0</v>
      </c>
      <c r="X399" s="32" t="n">
        <v>0</v>
      </c>
      <c r="Y399" s="32" t="n">
        <v>1</v>
      </c>
      <c r="Z399" s="32" t="n">
        <v>0</v>
      </c>
      <c r="AA399" s="32" t="n">
        <v>0</v>
      </c>
      <c r="AB399" s="32" t="n">
        <v>0</v>
      </c>
      <c r="AC399" s="30" t="s">
        <v>500</v>
      </c>
      <c r="AD399" s="37" t="n">
        <f aca="false">B399-B398</f>
        <v>0.125</v>
      </c>
    </row>
    <row r="400" customFormat="false" ht="15" hidden="false" customHeight="false" outlineLevel="0" collapsed="false">
      <c r="A400" s="33" t="n">
        <v>397</v>
      </c>
      <c r="B400" s="34" t="n">
        <f aca="false">Summary!$B$5+IF(D400=1,0,IF(C400=1,Summary!$B$6,NA()))+(MATCH(1,E400:L400,0)-1)*Summary!$B$7+(MATCH(1,M400:T400,0)-1)*Summary!$B$8+(MATCH(1,U400:AB400,0)-1)*Summary!$B$9</f>
        <v>79.625</v>
      </c>
      <c r="C400" s="35" t="n">
        <v>0</v>
      </c>
      <c r="D400" s="35" t="n">
        <v>1</v>
      </c>
      <c r="E400" s="35" t="n">
        <v>0</v>
      </c>
      <c r="F400" s="35" t="n">
        <v>0</v>
      </c>
      <c r="G400" s="35" t="n">
        <v>0</v>
      </c>
      <c r="H400" s="35" t="n">
        <v>0</v>
      </c>
      <c r="I400" s="35" t="n">
        <v>0</v>
      </c>
      <c r="J400" s="35" t="n">
        <v>0</v>
      </c>
      <c r="K400" s="35" t="n">
        <v>1</v>
      </c>
      <c r="L400" s="35" t="n">
        <v>0</v>
      </c>
      <c r="M400" s="35" t="n">
        <v>0</v>
      </c>
      <c r="N400" s="35" t="n">
        <v>1</v>
      </c>
      <c r="O400" s="35" t="n">
        <v>0</v>
      </c>
      <c r="P400" s="35" t="n">
        <v>0</v>
      </c>
      <c r="Q400" s="35" t="n">
        <v>0</v>
      </c>
      <c r="R400" s="35" t="n">
        <v>0</v>
      </c>
      <c r="S400" s="35" t="n">
        <v>0</v>
      </c>
      <c r="T400" s="35" t="n">
        <v>0</v>
      </c>
      <c r="U400" s="35" t="n">
        <v>0</v>
      </c>
      <c r="V400" s="35" t="n">
        <v>0</v>
      </c>
      <c r="W400" s="35" t="n">
        <v>0</v>
      </c>
      <c r="X400" s="35" t="n">
        <v>0</v>
      </c>
      <c r="Y400" s="35" t="n">
        <v>0</v>
      </c>
      <c r="Z400" s="35" t="n">
        <v>1</v>
      </c>
      <c r="AA400" s="35" t="n">
        <v>0</v>
      </c>
      <c r="AB400" s="35" t="n">
        <v>0</v>
      </c>
      <c r="AC400" s="33" t="s">
        <v>501</v>
      </c>
      <c r="AD400" s="36" t="n">
        <f aca="false">B400-B399</f>
        <v>0.125</v>
      </c>
    </row>
    <row r="401" customFormat="false" ht="15" hidden="false" customHeight="false" outlineLevel="0" collapsed="false">
      <c r="A401" s="30" t="n">
        <v>398</v>
      </c>
      <c r="B401" s="31" t="n">
        <f aca="false">Summary!$B$5+IF(D401=1,0,IF(C401=1,Summary!$B$6,NA()))+(MATCH(1,E401:L401,0)-1)*Summary!$B$7+(MATCH(1,M401:T401,0)-1)*Summary!$B$8+(MATCH(1,U401:AB401,0)-1)*Summary!$B$9</f>
        <v>79.75</v>
      </c>
      <c r="C401" s="32" t="n">
        <v>0</v>
      </c>
      <c r="D401" s="32" t="n">
        <v>1</v>
      </c>
      <c r="E401" s="32" t="n">
        <v>0</v>
      </c>
      <c r="F401" s="32" t="n">
        <v>0</v>
      </c>
      <c r="G401" s="32" t="n">
        <v>0</v>
      </c>
      <c r="H401" s="32" t="n">
        <v>0</v>
      </c>
      <c r="I401" s="32" t="n">
        <v>0</v>
      </c>
      <c r="J401" s="32" t="n">
        <v>0</v>
      </c>
      <c r="K401" s="32" t="n">
        <v>1</v>
      </c>
      <c r="L401" s="32" t="n">
        <v>0</v>
      </c>
      <c r="M401" s="32" t="n">
        <v>0</v>
      </c>
      <c r="N401" s="32" t="n">
        <v>1</v>
      </c>
      <c r="O401" s="32" t="n">
        <v>0</v>
      </c>
      <c r="P401" s="32" t="n">
        <v>0</v>
      </c>
      <c r="Q401" s="32" t="n">
        <v>0</v>
      </c>
      <c r="R401" s="32" t="n">
        <v>0</v>
      </c>
      <c r="S401" s="32" t="n">
        <v>0</v>
      </c>
      <c r="T401" s="32" t="n">
        <v>0</v>
      </c>
      <c r="U401" s="32" t="n">
        <v>0</v>
      </c>
      <c r="V401" s="32" t="n">
        <v>0</v>
      </c>
      <c r="W401" s="32" t="n">
        <v>0</v>
      </c>
      <c r="X401" s="32" t="n">
        <v>0</v>
      </c>
      <c r="Y401" s="32" t="n">
        <v>0</v>
      </c>
      <c r="Z401" s="32" t="n">
        <v>0</v>
      </c>
      <c r="AA401" s="32" t="n">
        <v>1</v>
      </c>
      <c r="AB401" s="32" t="n">
        <v>0</v>
      </c>
      <c r="AC401" s="30" t="s">
        <v>502</v>
      </c>
      <c r="AD401" s="37" t="n">
        <f aca="false">B401-B400</f>
        <v>0.125</v>
      </c>
    </row>
    <row r="402" customFormat="false" ht="15" hidden="false" customHeight="false" outlineLevel="0" collapsed="false">
      <c r="A402" s="33" t="n">
        <v>399</v>
      </c>
      <c r="B402" s="34" t="n">
        <f aca="false">Summary!$B$5+IF(D402=1,0,IF(C402=1,Summary!$B$6,NA()))+(MATCH(1,E402:L402,0)-1)*Summary!$B$7+(MATCH(1,M402:T402,0)-1)*Summary!$B$8+(MATCH(1,U402:AB402,0)-1)*Summary!$B$9</f>
        <v>79.875</v>
      </c>
      <c r="C402" s="35" t="n">
        <v>0</v>
      </c>
      <c r="D402" s="35" t="n">
        <v>1</v>
      </c>
      <c r="E402" s="35" t="n">
        <v>0</v>
      </c>
      <c r="F402" s="35" t="n">
        <v>0</v>
      </c>
      <c r="G402" s="35" t="n">
        <v>0</v>
      </c>
      <c r="H402" s="35" t="n">
        <v>0</v>
      </c>
      <c r="I402" s="35" t="n">
        <v>0</v>
      </c>
      <c r="J402" s="35" t="n">
        <v>0</v>
      </c>
      <c r="K402" s="35" t="n">
        <v>1</v>
      </c>
      <c r="L402" s="35" t="n">
        <v>0</v>
      </c>
      <c r="M402" s="35" t="n">
        <v>0</v>
      </c>
      <c r="N402" s="35" t="n">
        <v>1</v>
      </c>
      <c r="O402" s="35" t="n">
        <v>0</v>
      </c>
      <c r="P402" s="35" t="n">
        <v>0</v>
      </c>
      <c r="Q402" s="35" t="n">
        <v>0</v>
      </c>
      <c r="R402" s="35" t="n">
        <v>0</v>
      </c>
      <c r="S402" s="35" t="n">
        <v>0</v>
      </c>
      <c r="T402" s="35" t="n">
        <v>0</v>
      </c>
      <c r="U402" s="35" t="n">
        <v>0</v>
      </c>
      <c r="V402" s="35" t="n">
        <v>0</v>
      </c>
      <c r="W402" s="35" t="n">
        <v>0</v>
      </c>
      <c r="X402" s="35" t="n">
        <v>0</v>
      </c>
      <c r="Y402" s="35" t="n">
        <v>0</v>
      </c>
      <c r="Z402" s="35" t="n">
        <v>0</v>
      </c>
      <c r="AA402" s="35" t="n">
        <v>0</v>
      </c>
      <c r="AB402" s="35" t="n">
        <v>1</v>
      </c>
      <c r="AC402" s="33" t="s">
        <v>503</v>
      </c>
      <c r="AD402" s="36" t="n">
        <f aca="false">B402-B401</f>
        <v>0.125</v>
      </c>
    </row>
    <row r="403" customFormat="false" ht="15" hidden="false" customHeight="false" outlineLevel="0" collapsed="false">
      <c r="A403" s="30" t="n">
        <v>400</v>
      </c>
      <c r="B403" s="31" t="n">
        <f aca="false">Summary!$B$5+IF(D403=1,0,IF(C403=1,Summary!$B$6,NA()))+(MATCH(1,E403:L403,0)-1)*Summary!$B$7+(MATCH(1,M403:T403,0)-1)*Summary!$B$8+(MATCH(1,U403:AB403,0)-1)*Summary!$B$9</f>
        <v>80</v>
      </c>
      <c r="C403" s="32" t="n">
        <v>0</v>
      </c>
      <c r="D403" s="32" t="n">
        <v>1</v>
      </c>
      <c r="E403" s="32" t="n">
        <v>0</v>
      </c>
      <c r="F403" s="32" t="n">
        <v>0</v>
      </c>
      <c r="G403" s="32" t="n">
        <v>0</v>
      </c>
      <c r="H403" s="32" t="n">
        <v>0</v>
      </c>
      <c r="I403" s="32" t="n">
        <v>0</v>
      </c>
      <c r="J403" s="32" t="n">
        <v>0</v>
      </c>
      <c r="K403" s="32" t="n">
        <v>1</v>
      </c>
      <c r="L403" s="32" t="n">
        <v>0</v>
      </c>
      <c r="M403" s="32" t="n">
        <v>0</v>
      </c>
      <c r="N403" s="32" t="n">
        <v>0</v>
      </c>
      <c r="O403" s="32" t="n">
        <v>1</v>
      </c>
      <c r="P403" s="32" t="n">
        <v>0</v>
      </c>
      <c r="Q403" s="32" t="n">
        <v>0</v>
      </c>
      <c r="R403" s="32" t="n">
        <v>0</v>
      </c>
      <c r="S403" s="32" t="n">
        <v>0</v>
      </c>
      <c r="T403" s="32" t="n">
        <v>0</v>
      </c>
      <c r="U403" s="32" t="n">
        <v>1</v>
      </c>
      <c r="V403" s="32" t="n">
        <v>0</v>
      </c>
      <c r="W403" s="32" t="n">
        <v>0</v>
      </c>
      <c r="X403" s="32" t="n">
        <v>0</v>
      </c>
      <c r="Y403" s="32" t="n">
        <v>0</v>
      </c>
      <c r="Z403" s="32" t="n">
        <v>0</v>
      </c>
      <c r="AA403" s="32" t="n">
        <v>0</v>
      </c>
      <c r="AB403" s="32" t="n">
        <v>0</v>
      </c>
      <c r="AC403" s="30" t="s">
        <v>504</v>
      </c>
      <c r="AD403" s="37" t="n">
        <f aca="false">B403-B402</f>
        <v>0.125</v>
      </c>
    </row>
    <row r="404" customFormat="false" ht="15" hidden="false" customHeight="false" outlineLevel="0" collapsed="false">
      <c r="A404" s="33" t="n">
        <v>401</v>
      </c>
      <c r="B404" s="34" t="n">
        <f aca="false">Summary!$B$5+IF(D404=1,0,IF(C404=1,Summary!$B$6,NA()))+(MATCH(1,E404:L404,0)-1)*Summary!$B$7+(MATCH(1,M404:T404,0)-1)*Summary!$B$8+(MATCH(1,U404:AB404,0)-1)*Summary!$B$9</f>
        <v>80.125</v>
      </c>
      <c r="C404" s="35" t="n">
        <v>0</v>
      </c>
      <c r="D404" s="35" t="n">
        <v>1</v>
      </c>
      <c r="E404" s="35" t="n">
        <v>0</v>
      </c>
      <c r="F404" s="35" t="n">
        <v>0</v>
      </c>
      <c r="G404" s="35" t="n">
        <v>0</v>
      </c>
      <c r="H404" s="35" t="n">
        <v>0</v>
      </c>
      <c r="I404" s="35" t="n">
        <v>0</v>
      </c>
      <c r="J404" s="35" t="n">
        <v>0</v>
      </c>
      <c r="K404" s="35" t="n">
        <v>1</v>
      </c>
      <c r="L404" s="35" t="n">
        <v>0</v>
      </c>
      <c r="M404" s="35" t="n">
        <v>0</v>
      </c>
      <c r="N404" s="35" t="n">
        <v>0</v>
      </c>
      <c r="O404" s="35" t="n">
        <v>1</v>
      </c>
      <c r="P404" s="35" t="n">
        <v>0</v>
      </c>
      <c r="Q404" s="35" t="n">
        <v>0</v>
      </c>
      <c r="R404" s="35" t="n">
        <v>0</v>
      </c>
      <c r="S404" s="35" t="n">
        <v>0</v>
      </c>
      <c r="T404" s="35" t="n">
        <v>0</v>
      </c>
      <c r="U404" s="35" t="n">
        <v>0</v>
      </c>
      <c r="V404" s="35" t="n">
        <v>1</v>
      </c>
      <c r="W404" s="35" t="n">
        <v>0</v>
      </c>
      <c r="X404" s="35" t="n">
        <v>0</v>
      </c>
      <c r="Y404" s="35" t="n">
        <v>0</v>
      </c>
      <c r="Z404" s="35" t="n">
        <v>0</v>
      </c>
      <c r="AA404" s="35" t="n">
        <v>0</v>
      </c>
      <c r="AB404" s="35" t="n">
        <v>0</v>
      </c>
      <c r="AC404" s="33" t="s">
        <v>505</v>
      </c>
      <c r="AD404" s="36" t="n">
        <f aca="false">B404-B403</f>
        <v>0.125</v>
      </c>
    </row>
    <row r="405" customFormat="false" ht="15" hidden="false" customHeight="false" outlineLevel="0" collapsed="false">
      <c r="A405" s="30" t="n">
        <v>402</v>
      </c>
      <c r="B405" s="31" t="n">
        <f aca="false">Summary!$B$5+IF(D405=1,0,IF(C405=1,Summary!$B$6,NA()))+(MATCH(1,E405:L405,0)-1)*Summary!$B$7+(MATCH(1,M405:T405,0)-1)*Summary!$B$8+(MATCH(1,U405:AB405,0)-1)*Summary!$B$9</f>
        <v>80.25</v>
      </c>
      <c r="C405" s="32" t="n">
        <v>0</v>
      </c>
      <c r="D405" s="32" t="n">
        <v>1</v>
      </c>
      <c r="E405" s="32" t="n">
        <v>0</v>
      </c>
      <c r="F405" s="32" t="n">
        <v>0</v>
      </c>
      <c r="G405" s="32" t="n">
        <v>0</v>
      </c>
      <c r="H405" s="32" t="n">
        <v>0</v>
      </c>
      <c r="I405" s="32" t="n">
        <v>0</v>
      </c>
      <c r="J405" s="32" t="n">
        <v>0</v>
      </c>
      <c r="K405" s="32" t="n">
        <v>1</v>
      </c>
      <c r="L405" s="32" t="n">
        <v>0</v>
      </c>
      <c r="M405" s="32" t="n">
        <v>0</v>
      </c>
      <c r="N405" s="32" t="n">
        <v>0</v>
      </c>
      <c r="O405" s="32" t="n">
        <v>1</v>
      </c>
      <c r="P405" s="32" t="n">
        <v>0</v>
      </c>
      <c r="Q405" s="32" t="n">
        <v>0</v>
      </c>
      <c r="R405" s="32" t="n">
        <v>0</v>
      </c>
      <c r="S405" s="32" t="n">
        <v>0</v>
      </c>
      <c r="T405" s="32" t="n">
        <v>0</v>
      </c>
      <c r="U405" s="32" t="n">
        <v>0</v>
      </c>
      <c r="V405" s="32" t="n">
        <v>0</v>
      </c>
      <c r="W405" s="32" t="n">
        <v>1</v>
      </c>
      <c r="X405" s="32" t="n">
        <v>0</v>
      </c>
      <c r="Y405" s="32" t="n">
        <v>0</v>
      </c>
      <c r="Z405" s="32" t="n">
        <v>0</v>
      </c>
      <c r="AA405" s="32" t="n">
        <v>0</v>
      </c>
      <c r="AB405" s="32" t="n">
        <v>0</v>
      </c>
      <c r="AC405" s="30" t="s">
        <v>506</v>
      </c>
      <c r="AD405" s="37" t="n">
        <f aca="false">B405-B404</f>
        <v>0.125</v>
      </c>
    </row>
    <row r="406" customFormat="false" ht="15" hidden="false" customHeight="false" outlineLevel="0" collapsed="false">
      <c r="A406" s="33" t="n">
        <v>403</v>
      </c>
      <c r="B406" s="34" t="n">
        <f aca="false">Summary!$B$5+IF(D406=1,0,IF(C406=1,Summary!$B$6,NA()))+(MATCH(1,E406:L406,0)-1)*Summary!$B$7+(MATCH(1,M406:T406,0)-1)*Summary!$B$8+(MATCH(1,U406:AB406,0)-1)*Summary!$B$9</f>
        <v>80.375</v>
      </c>
      <c r="C406" s="35" t="n">
        <v>0</v>
      </c>
      <c r="D406" s="35" t="n">
        <v>1</v>
      </c>
      <c r="E406" s="35" t="n">
        <v>0</v>
      </c>
      <c r="F406" s="35" t="n">
        <v>0</v>
      </c>
      <c r="G406" s="35" t="n">
        <v>0</v>
      </c>
      <c r="H406" s="35" t="n">
        <v>0</v>
      </c>
      <c r="I406" s="35" t="n">
        <v>0</v>
      </c>
      <c r="J406" s="35" t="n">
        <v>0</v>
      </c>
      <c r="K406" s="35" t="n">
        <v>1</v>
      </c>
      <c r="L406" s="35" t="n">
        <v>0</v>
      </c>
      <c r="M406" s="35" t="n">
        <v>0</v>
      </c>
      <c r="N406" s="35" t="n">
        <v>0</v>
      </c>
      <c r="O406" s="35" t="n">
        <v>1</v>
      </c>
      <c r="P406" s="35" t="n">
        <v>0</v>
      </c>
      <c r="Q406" s="35" t="n">
        <v>0</v>
      </c>
      <c r="R406" s="35" t="n">
        <v>0</v>
      </c>
      <c r="S406" s="35" t="n">
        <v>0</v>
      </c>
      <c r="T406" s="35" t="n">
        <v>0</v>
      </c>
      <c r="U406" s="35" t="n">
        <v>0</v>
      </c>
      <c r="V406" s="35" t="n">
        <v>0</v>
      </c>
      <c r="W406" s="35" t="n">
        <v>0</v>
      </c>
      <c r="X406" s="35" t="n">
        <v>1</v>
      </c>
      <c r="Y406" s="35" t="n">
        <v>0</v>
      </c>
      <c r="Z406" s="35" t="n">
        <v>0</v>
      </c>
      <c r="AA406" s="35" t="n">
        <v>0</v>
      </c>
      <c r="AB406" s="35" t="n">
        <v>0</v>
      </c>
      <c r="AC406" s="33" t="s">
        <v>507</v>
      </c>
      <c r="AD406" s="36" t="n">
        <f aca="false">B406-B405</f>
        <v>0.125</v>
      </c>
    </row>
    <row r="407" customFormat="false" ht="15" hidden="false" customHeight="false" outlineLevel="0" collapsed="false">
      <c r="A407" s="30" t="n">
        <v>404</v>
      </c>
      <c r="B407" s="31" t="n">
        <f aca="false">Summary!$B$5+IF(D407=1,0,IF(C407=1,Summary!$B$6,NA()))+(MATCH(1,E407:L407,0)-1)*Summary!$B$7+(MATCH(1,M407:T407,0)-1)*Summary!$B$8+(MATCH(1,U407:AB407,0)-1)*Summary!$B$9</f>
        <v>80.5</v>
      </c>
      <c r="C407" s="32" t="n">
        <v>0</v>
      </c>
      <c r="D407" s="32" t="n">
        <v>1</v>
      </c>
      <c r="E407" s="32" t="n">
        <v>0</v>
      </c>
      <c r="F407" s="32" t="n">
        <v>0</v>
      </c>
      <c r="G407" s="32" t="n">
        <v>0</v>
      </c>
      <c r="H407" s="32" t="n">
        <v>0</v>
      </c>
      <c r="I407" s="32" t="n">
        <v>0</v>
      </c>
      <c r="J407" s="32" t="n">
        <v>0</v>
      </c>
      <c r="K407" s="32" t="n">
        <v>1</v>
      </c>
      <c r="L407" s="32" t="n">
        <v>0</v>
      </c>
      <c r="M407" s="32" t="n">
        <v>0</v>
      </c>
      <c r="N407" s="32" t="n">
        <v>0</v>
      </c>
      <c r="O407" s="32" t="n">
        <v>1</v>
      </c>
      <c r="P407" s="32" t="n">
        <v>0</v>
      </c>
      <c r="Q407" s="32" t="n">
        <v>0</v>
      </c>
      <c r="R407" s="32" t="n">
        <v>0</v>
      </c>
      <c r="S407" s="32" t="n">
        <v>0</v>
      </c>
      <c r="T407" s="32" t="n">
        <v>0</v>
      </c>
      <c r="U407" s="32" t="n">
        <v>0</v>
      </c>
      <c r="V407" s="32" t="n">
        <v>0</v>
      </c>
      <c r="W407" s="32" t="n">
        <v>0</v>
      </c>
      <c r="X407" s="32" t="n">
        <v>0</v>
      </c>
      <c r="Y407" s="32" t="n">
        <v>1</v>
      </c>
      <c r="Z407" s="32" t="n">
        <v>0</v>
      </c>
      <c r="AA407" s="32" t="n">
        <v>0</v>
      </c>
      <c r="AB407" s="32" t="n">
        <v>0</v>
      </c>
      <c r="AC407" s="30" t="s">
        <v>508</v>
      </c>
      <c r="AD407" s="37" t="n">
        <f aca="false">B407-B406</f>
        <v>0.125</v>
      </c>
    </row>
    <row r="408" customFormat="false" ht="15" hidden="false" customHeight="false" outlineLevel="0" collapsed="false">
      <c r="A408" s="33" t="n">
        <v>405</v>
      </c>
      <c r="B408" s="34" t="n">
        <f aca="false">Summary!$B$5+IF(D408=1,0,IF(C408=1,Summary!$B$6,NA()))+(MATCH(1,E408:L408,0)-1)*Summary!$B$7+(MATCH(1,M408:T408,0)-1)*Summary!$B$8+(MATCH(1,U408:AB408,0)-1)*Summary!$B$9</f>
        <v>80.625</v>
      </c>
      <c r="C408" s="35" t="n">
        <v>0</v>
      </c>
      <c r="D408" s="35" t="n">
        <v>1</v>
      </c>
      <c r="E408" s="35" t="n">
        <v>0</v>
      </c>
      <c r="F408" s="35" t="n">
        <v>0</v>
      </c>
      <c r="G408" s="35" t="n">
        <v>0</v>
      </c>
      <c r="H408" s="35" t="n">
        <v>0</v>
      </c>
      <c r="I408" s="35" t="n">
        <v>0</v>
      </c>
      <c r="J408" s="35" t="n">
        <v>0</v>
      </c>
      <c r="K408" s="35" t="n">
        <v>1</v>
      </c>
      <c r="L408" s="35" t="n">
        <v>0</v>
      </c>
      <c r="M408" s="35" t="n">
        <v>0</v>
      </c>
      <c r="N408" s="35" t="n">
        <v>0</v>
      </c>
      <c r="O408" s="35" t="n">
        <v>1</v>
      </c>
      <c r="P408" s="35" t="n">
        <v>0</v>
      </c>
      <c r="Q408" s="35" t="n">
        <v>0</v>
      </c>
      <c r="R408" s="35" t="n">
        <v>0</v>
      </c>
      <c r="S408" s="35" t="n">
        <v>0</v>
      </c>
      <c r="T408" s="35" t="n">
        <v>0</v>
      </c>
      <c r="U408" s="35" t="n">
        <v>0</v>
      </c>
      <c r="V408" s="35" t="n">
        <v>0</v>
      </c>
      <c r="W408" s="35" t="n">
        <v>0</v>
      </c>
      <c r="X408" s="35" t="n">
        <v>0</v>
      </c>
      <c r="Y408" s="35" t="n">
        <v>0</v>
      </c>
      <c r="Z408" s="35" t="n">
        <v>1</v>
      </c>
      <c r="AA408" s="35" t="n">
        <v>0</v>
      </c>
      <c r="AB408" s="35" t="n">
        <v>0</v>
      </c>
      <c r="AC408" s="33" t="s">
        <v>509</v>
      </c>
      <c r="AD408" s="36" t="n">
        <f aca="false">B408-B407</f>
        <v>0.125</v>
      </c>
    </row>
    <row r="409" customFormat="false" ht="15" hidden="false" customHeight="false" outlineLevel="0" collapsed="false">
      <c r="A409" s="30" t="n">
        <v>406</v>
      </c>
      <c r="B409" s="31" t="n">
        <f aca="false">Summary!$B$5+IF(D409=1,0,IF(C409=1,Summary!$B$6,NA()))+(MATCH(1,E409:L409,0)-1)*Summary!$B$7+(MATCH(1,M409:T409,0)-1)*Summary!$B$8+(MATCH(1,U409:AB409,0)-1)*Summary!$B$9</f>
        <v>80.75</v>
      </c>
      <c r="C409" s="32" t="n">
        <v>0</v>
      </c>
      <c r="D409" s="32" t="n">
        <v>1</v>
      </c>
      <c r="E409" s="32" t="n">
        <v>0</v>
      </c>
      <c r="F409" s="32" t="n">
        <v>0</v>
      </c>
      <c r="G409" s="32" t="n">
        <v>0</v>
      </c>
      <c r="H409" s="32" t="n">
        <v>0</v>
      </c>
      <c r="I409" s="32" t="n">
        <v>0</v>
      </c>
      <c r="J409" s="32" t="n">
        <v>0</v>
      </c>
      <c r="K409" s="32" t="n">
        <v>1</v>
      </c>
      <c r="L409" s="32" t="n">
        <v>0</v>
      </c>
      <c r="M409" s="32" t="n">
        <v>0</v>
      </c>
      <c r="N409" s="32" t="n">
        <v>0</v>
      </c>
      <c r="O409" s="32" t="n">
        <v>1</v>
      </c>
      <c r="P409" s="32" t="n">
        <v>0</v>
      </c>
      <c r="Q409" s="32" t="n">
        <v>0</v>
      </c>
      <c r="R409" s="32" t="n">
        <v>0</v>
      </c>
      <c r="S409" s="32" t="n">
        <v>0</v>
      </c>
      <c r="T409" s="32" t="n">
        <v>0</v>
      </c>
      <c r="U409" s="32" t="n">
        <v>0</v>
      </c>
      <c r="V409" s="32" t="n">
        <v>0</v>
      </c>
      <c r="W409" s="32" t="n">
        <v>0</v>
      </c>
      <c r="X409" s="32" t="n">
        <v>0</v>
      </c>
      <c r="Y409" s="32" t="n">
        <v>0</v>
      </c>
      <c r="Z409" s="32" t="n">
        <v>0</v>
      </c>
      <c r="AA409" s="32" t="n">
        <v>1</v>
      </c>
      <c r="AB409" s="32" t="n">
        <v>0</v>
      </c>
      <c r="AC409" s="30" t="s">
        <v>510</v>
      </c>
      <c r="AD409" s="37" t="n">
        <f aca="false">B409-B408</f>
        <v>0.125</v>
      </c>
    </row>
    <row r="410" customFormat="false" ht="15" hidden="false" customHeight="false" outlineLevel="0" collapsed="false">
      <c r="A410" s="33" t="n">
        <v>407</v>
      </c>
      <c r="B410" s="34" t="n">
        <f aca="false">Summary!$B$5+IF(D410=1,0,IF(C410=1,Summary!$B$6,NA()))+(MATCH(1,E410:L410,0)-1)*Summary!$B$7+(MATCH(1,M410:T410,0)-1)*Summary!$B$8+(MATCH(1,U410:AB410,0)-1)*Summary!$B$9</f>
        <v>80.875</v>
      </c>
      <c r="C410" s="35" t="n">
        <v>0</v>
      </c>
      <c r="D410" s="35" t="n">
        <v>1</v>
      </c>
      <c r="E410" s="35" t="n">
        <v>0</v>
      </c>
      <c r="F410" s="35" t="n">
        <v>0</v>
      </c>
      <c r="G410" s="35" t="n">
        <v>0</v>
      </c>
      <c r="H410" s="35" t="n">
        <v>0</v>
      </c>
      <c r="I410" s="35" t="n">
        <v>0</v>
      </c>
      <c r="J410" s="35" t="n">
        <v>0</v>
      </c>
      <c r="K410" s="35" t="n">
        <v>1</v>
      </c>
      <c r="L410" s="35" t="n">
        <v>0</v>
      </c>
      <c r="M410" s="35" t="n">
        <v>0</v>
      </c>
      <c r="N410" s="35" t="n">
        <v>0</v>
      </c>
      <c r="O410" s="35" t="n">
        <v>1</v>
      </c>
      <c r="P410" s="35" t="n">
        <v>0</v>
      </c>
      <c r="Q410" s="35" t="n">
        <v>0</v>
      </c>
      <c r="R410" s="35" t="n">
        <v>0</v>
      </c>
      <c r="S410" s="35" t="n">
        <v>0</v>
      </c>
      <c r="T410" s="35" t="n">
        <v>0</v>
      </c>
      <c r="U410" s="35" t="n">
        <v>0</v>
      </c>
      <c r="V410" s="35" t="n">
        <v>0</v>
      </c>
      <c r="W410" s="35" t="n">
        <v>0</v>
      </c>
      <c r="X410" s="35" t="n">
        <v>0</v>
      </c>
      <c r="Y410" s="35" t="n">
        <v>0</v>
      </c>
      <c r="Z410" s="35" t="n">
        <v>0</v>
      </c>
      <c r="AA410" s="35" t="n">
        <v>0</v>
      </c>
      <c r="AB410" s="35" t="n">
        <v>1</v>
      </c>
      <c r="AC410" s="33" t="s">
        <v>511</v>
      </c>
      <c r="AD410" s="36" t="n">
        <f aca="false">B410-B409</f>
        <v>0.125</v>
      </c>
    </row>
    <row r="411" customFormat="false" ht="15" hidden="false" customHeight="false" outlineLevel="0" collapsed="false">
      <c r="A411" s="30" t="n">
        <v>408</v>
      </c>
      <c r="B411" s="31" t="n">
        <f aca="false">Summary!$B$5+IF(D411=1,0,IF(C411=1,Summary!$B$6,NA()))+(MATCH(1,E411:L411,0)-1)*Summary!$B$7+(MATCH(1,M411:T411,0)-1)*Summary!$B$8+(MATCH(1,U411:AB411,0)-1)*Summary!$B$9</f>
        <v>81</v>
      </c>
      <c r="C411" s="32" t="n">
        <v>0</v>
      </c>
      <c r="D411" s="32" t="n">
        <v>1</v>
      </c>
      <c r="E411" s="32" t="n">
        <v>0</v>
      </c>
      <c r="F411" s="32" t="n">
        <v>0</v>
      </c>
      <c r="G411" s="32" t="n">
        <v>0</v>
      </c>
      <c r="H411" s="32" t="n">
        <v>0</v>
      </c>
      <c r="I411" s="32" t="n">
        <v>0</v>
      </c>
      <c r="J411" s="32" t="n">
        <v>0</v>
      </c>
      <c r="K411" s="32" t="n">
        <v>1</v>
      </c>
      <c r="L411" s="32" t="n">
        <v>0</v>
      </c>
      <c r="M411" s="32" t="n">
        <v>0</v>
      </c>
      <c r="N411" s="32" t="n">
        <v>0</v>
      </c>
      <c r="O411" s="32" t="n">
        <v>0</v>
      </c>
      <c r="P411" s="32" t="n">
        <v>1</v>
      </c>
      <c r="Q411" s="32" t="n">
        <v>0</v>
      </c>
      <c r="R411" s="32" t="n">
        <v>0</v>
      </c>
      <c r="S411" s="32" t="n">
        <v>0</v>
      </c>
      <c r="T411" s="32" t="n">
        <v>0</v>
      </c>
      <c r="U411" s="32" t="n">
        <v>1</v>
      </c>
      <c r="V411" s="32" t="n">
        <v>0</v>
      </c>
      <c r="W411" s="32" t="n">
        <v>0</v>
      </c>
      <c r="X411" s="32" t="n">
        <v>0</v>
      </c>
      <c r="Y411" s="32" t="n">
        <v>0</v>
      </c>
      <c r="Z411" s="32" t="n">
        <v>0</v>
      </c>
      <c r="AA411" s="32" t="n">
        <v>0</v>
      </c>
      <c r="AB411" s="32" t="n">
        <v>0</v>
      </c>
      <c r="AC411" s="30" t="s">
        <v>512</v>
      </c>
      <c r="AD411" s="37" t="n">
        <f aca="false">B411-B410</f>
        <v>0.125</v>
      </c>
    </row>
    <row r="412" customFormat="false" ht="15" hidden="false" customHeight="false" outlineLevel="0" collapsed="false">
      <c r="A412" s="33" t="n">
        <v>409</v>
      </c>
      <c r="B412" s="34" t="n">
        <f aca="false">Summary!$B$5+IF(D412=1,0,IF(C412=1,Summary!$B$6,NA()))+(MATCH(1,E412:L412,0)-1)*Summary!$B$7+(MATCH(1,M412:T412,0)-1)*Summary!$B$8+(MATCH(1,U412:AB412,0)-1)*Summary!$B$9</f>
        <v>81.125</v>
      </c>
      <c r="C412" s="35" t="n">
        <v>0</v>
      </c>
      <c r="D412" s="35" t="n">
        <v>1</v>
      </c>
      <c r="E412" s="35" t="n">
        <v>0</v>
      </c>
      <c r="F412" s="35" t="n">
        <v>0</v>
      </c>
      <c r="G412" s="35" t="n">
        <v>0</v>
      </c>
      <c r="H412" s="35" t="n">
        <v>0</v>
      </c>
      <c r="I412" s="35" t="n">
        <v>0</v>
      </c>
      <c r="J412" s="35" t="n">
        <v>0</v>
      </c>
      <c r="K412" s="35" t="n">
        <v>1</v>
      </c>
      <c r="L412" s="35" t="n">
        <v>0</v>
      </c>
      <c r="M412" s="35" t="n">
        <v>0</v>
      </c>
      <c r="N412" s="35" t="n">
        <v>0</v>
      </c>
      <c r="O412" s="35" t="n">
        <v>0</v>
      </c>
      <c r="P412" s="35" t="n">
        <v>1</v>
      </c>
      <c r="Q412" s="35" t="n">
        <v>0</v>
      </c>
      <c r="R412" s="35" t="n">
        <v>0</v>
      </c>
      <c r="S412" s="35" t="n">
        <v>0</v>
      </c>
      <c r="T412" s="35" t="n">
        <v>0</v>
      </c>
      <c r="U412" s="35" t="n">
        <v>0</v>
      </c>
      <c r="V412" s="35" t="n">
        <v>1</v>
      </c>
      <c r="W412" s="35" t="n">
        <v>0</v>
      </c>
      <c r="X412" s="35" t="n">
        <v>0</v>
      </c>
      <c r="Y412" s="35" t="n">
        <v>0</v>
      </c>
      <c r="Z412" s="35" t="n">
        <v>0</v>
      </c>
      <c r="AA412" s="35" t="n">
        <v>0</v>
      </c>
      <c r="AB412" s="35" t="n">
        <v>0</v>
      </c>
      <c r="AC412" s="33" t="s">
        <v>513</v>
      </c>
      <c r="AD412" s="36" t="n">
        <f aca="false">B412-B411</f>
        <v>0.125</v>
      </c>
    </row>
    <row r="413" customFormat="false" ht="15" hidden="false" customHeight="false" outlineLevel="0" collapsed="false">
      <c r="A413" s="30" t="n">
        <v>410</v>
      </c>
      <c r="B413" s="31" t="n">
        <f aca="false">Summary!$B$5+IF(D413=1,0,IF(C413=1,Summary!$B$6,NA()))+(MATCH(1,E413:L413,0)-1)*Summary!$B$7+(MATCH(1,M413:T413,0)-1)*Summary!$B$8+(MATCH(1,U413:AB413,0)-1)*Summary!$B$9</f>
        <v>81.25</v>
      </c>
      <c r="C413" s="32" t="n">
        <v>0</v>
      </c>
      <c r="D413" s="32" t="n">
        <v>1</v>
      </c>
      <c r="E413" s="32" t="n">
        <v>0</v>
      </c>
      <c r="F413" s="32" t="n">
        <v>0</v>
      </c>
      <c r="G413" s="32" t="n">
        <v>0</v>
      </c>
      <c r="H413" s="32" t="n">
        <v>0</v>
      </c>
      <c r="I413" s="32" t="n">
        <v>0</v>
      </c>
      <c r="J413" s="32" t="n">
        <v>0</v>
      </c>
      <c r="K413" s="32" t="n">
        <v>1</v>
      </c>
      <c r="L413" s="32" t="n">
        <v>0</v>
      </c>
      <c r="M413" s="32" t="n">
        <v>0</v>
      </c>
      <c r="N413" s="32" t="n">
        <v>0</v>
      </c>
      <c r="O413" s="32" t="n">
        <v>0</v>
      </c>
      <c r="P413" s="32" t="n">
        <v>1</v>
      </c>
      <c r="Q413" s="32" t="n">
        <v>0</v>
      </c>
      <c r="R413" s="32" t="n">
        <v>0</v>
      </c>
      <c r="S413" s="32" t="n">
        <v>0</v>
      </c>
      <c r="T413" s="32" t="n">
        <v>0</v>
      </c>
      <c r="U413" s="32" t="n">
        <v>0</v>
      </c>
      <c r="V413" s="32" t="n">
        <v>0</v>
      </c>
      <c r="W413" s="32" t="n">
        <v>1</v>
      </c>
      <c r="X413" s="32" t="n">
        <v>0</v>
      </c>
      <c r="Y413" s="32" t="n">
        <v>0</v>
      </c>
      <c r="Z413" s="32" t="n">
        <v>0</v>
      </c>
      <c r="AA413" s="32" t="n">
        <v>0</v>
      </c>
      <c r="AB413" s="32" t="n">
        <v>0</v>
      </c>
      <c r="AC413" s="30" t="s">
        <v>514</v>
      </c>
      <c r="AD413" s="37" t="n">
        <f aca="false">B413-B412</f>
        <v>0.125</v>
      </c>
    </row>
    <row r="414" customFormat="false" ht="15" hidden="false" customHeight="false" outlineLevel="0" collapsed="false">
      <c r="A414" s="33" t="n">
        <v>411</v>
      </c>
      <c r="B414" s="34" t="n">
        <f aca="false">Summary!$B$5+IF(D414=1,0,IF(C414=1,Summary!$B$6,NA()))+(MATCH(1,E414:L414,0)-1)*Summary!$B$7+(MATCH(1,M414:T414,0)-1)*Summary!$B$8+(MATCH(1,U414:AB414,0)-1)*Summary!$B$9</f>
        <v>81.375</v>
      </c>
      <c r="C414" s="35" t="n">
        <v>0</v>
      </c>
      <c r="D414" s="35" t="n">
        <v>1</v>
      </c>
      <c r="E414" s="35" t="n">
        <v>0</v>
      </c>
      <c r="F414" s="35" t="n">
        <v>0</v>
      </c>
      <c r="G414" s="35" t="n">
        <v>0</v>
      </c>
      <c r="H414" s="35" t="n">
        <v>0</v>
      </c>
      <c r="I414" s="35" t="n">
        <v>0</v>
      </c>
      <c r="J414" s="35" t="n">
        <v>0</v>
      </c>
      <c r="K414" s="35" t="n">
        <v>1</v>
      </c>
      <c r="L414" s="35" t="n">
        <v>0</v>
      </c>
      <c r="M414" s="35" t="n">
        <v>0</v>
      </c>
      <c r="N414" s="35" t="n">
        <v>0</v>
      </c>
      <c r="O414" s="35" t="n">
        <v>0</v>
      </c>
      <c r="P414" s="35" t="n">
        <v>1</v>
      </c>
      <c r="Q414" s="35" t="n">
        <v>0</v>
      </c>
      <c r="R414" s="35" t="n">
        <v>0</v>
      </c>
      <c r="S414" s="35" t="n">
        <v>0</v>
      </c>
      <c r="T414" s="35" t="n">
        <v>0</v>
      </c>
      <c r="U414" s="35" t="n">
        <v>0</v>
      </c>
      <c r="V414" s="35" t="n">
        <v>0</v>
      </c>
      <c r="W414" s="35" t="n">
        <v>0</v>
      </c>
      <c r="X414" s="35" t="n">
        <v>1</v>
      </c>
      <c r="Y414" s="35" t="n">
        <v>0</v>
      </c>
      <c r="Z414" s="35" t="n">
        <v>0</v>
      </c>
      <c r="AA414" s="35" t="n">
        <v>0</v>
      </c>
      <c r="AB414" s="35" t="n">
        <v>0</v>
      </c>
      <c r="AC414" s="33" t="s">
        <v>515</v>
      </c>
      <c r="AD414" s="36" t="n">
        <f aca="false">B414-B413</f>
        <v>0.125</v>
      </c>
    </row>
    <row r="415" customFormat="false" ht="15" hidden="false" customHeight="false" outlineLevel="0" collapsed="false">
      <c r="A415" s="30" t="n">
        <v>412</v>
      </c>
      <c r="B415" s="31" t="n">
        <f aca="false">Summary!$B$5+IF(D415=1,0,IF(C415=1,Summary!$B$6,NA()))+(MATCH(1,E415:L415,0)-1)*Summary!$B$7+(MATCH(1,M415:T415,0)-1)*Summary!$B$8+(MATCH(1,U415:AB415,0)-1)*Summary!$B$9</f>
        <v>81.5</v>
      </c>
      <c r="C415" s="32" t="n">
        <v>0</v>
      </c>
      <c r="D415" s="32" t="n">
        <v>1</v>
      </c>
      <c r="E415" s="32" t="n">
        <v>0</v>
      </c>
      <c r="F415" s="32" t="n">
        <v>0</v>
      </c>
      <c r="G415" s="32" t="n">
        <v>0</v>
      </c>
      <c r="H415" s="32" t="n">
        <v>0</v>
      </c>
      <c r="I415" s="32" t="n">
        <v>0</v>
      </c>
      <c r="J415" s="32" t="n">
        <v>0</v>
      </c>
      <c r="K415" s="32" t="n">
        <v>1</v>
      </c>
      <c r="L415" s="32" t="n">
        <v>0</v>
      </c>
      <c r="M415" s="32" t="n">
        <v>0</v>
      </c>
      <c r="N415" s="32" t="n">
        <v>0</v>
      </c>
      <c r="O415" s="32" t="n">
        <v>0</v>
      </c>
      <c r="P415" s="32" t="n">
        <v>1</v>
      </c>
      <c r="Q415" s="32" t="n">
        <v>0</v>
      </c>
      <c r="R415" s="32" t="n">
        <v>0</v>
      </c>
      <c r="S415" s="32" t="n">
        <v>0</v>
      </c>
      <c r="T415" s="32" t="n">
        <v>0</v>
      </c>
      <c r="U415" s="32" t="n">
        <v>0</v>
      </c>
      <c r="V415" s="32" t="n">
        <v>0</v>
      </c>
      <c r="W415" s="32" t="n">
        <v>0</v>
      </c>
      <c r="X415" s="32" t="n">
        <v>0</v>
      </c>
      <c r="Y415" s="32" t="n">
        <v>1</v>
      </c>
      <c r="Z415" s="32" t="n">
        <v>0</v>
      </c>
      <c r="AA415" s="32" t="n">
        <v>0</v>
      </c>
      <c r="AB415" s="32" t="n">
        <v>0</v>
      </c>
      <c r="AC415" s="30" t="s">
        <v>516</v>
      </c>
      <c r="AD415" s="37" t="n">
        <f aca="false">B415-B414</f>
        <v>0.125</v>
      </c>
    </row>
    <row r="416" customFormat="false" ht="15" hidden="false" customHeight="false" outlineLevel="0" collapsed="false">
      <c r="A416" s="33" t="n">
        <v>413</v>
      </c>
      <c r="B416" s="34" t="n">
        <f aca="false">Summary!$B$5+IF(D416=1,0,IF(C416=1,Summary!$B$6,NA()))+(MATCH(1,E416:L416,0)-1)*Summary!$B$7+(MATCH(1,M416:T416,0)-1)*Summary!$B$8+(MATCH(1,U416:AB416,0)-1)*Summary!$B$9</f>
        <v>81.625</v>
      </c>
      <c r="C416" s="35" t="n">
        <v>0</v>
      </c>
      <c r="D416" s="35" t="n">
        <v>1</v>
      </c>
      <c r="E416" s="35" t="n">
        <v>0</v>
      </c>
      <c r="F416" s="35" t="n">
        <v>0</v>
      </c>
      <c r="G416" s="35" t="n">
        <v>0</v>
      </c>
      <c r="H416" s="35" t="n">
        <v>0</v>
      </c>
      <c r="I416" s="35" t="n">
        <v>0</v>
      </c>
      <c r="J416" s="35" t="n">
        <v>0</v>
      </c>
      <c r="K416" s="35" t="n">
        <v>1</v>
      </c>
      <c r="L416" s="35" t="n">
        <v>0</v>
      </c>
      <c r="M416" s="35" t="n">
        <v>0</v>
      </c>
      <c r="N416" s="35" t="n">
        <v>0</v>
      </c>
      <c r="O416" s="35" t="n">
        <v>0</v>
      </c>
      <c r="P416" s="35" t="n">
        <v>1</v>
      </c>
      <c r="Q416" s="35" t="n">
        <v>0</v>
      </c>
      <c r="R416" s="35" t="n">
        <v>0</v>
      </c>
      <c r="S416" s="35" t="n">
        <v>0</v>
      </c>
      <c r="T416" s="35" t="n">
        <v>0</v>
      </c>
      <c r="U416" s="35" t="n">
        <v>0</v>
      </c>
      <c r="V416" s="35" t="n">
        <v>0</v>
      </c>
      <c r="W416" s="35" t="n">
        <v>0</v>
      </c>
      <c r="X416" s="35" t="n">
        <v>0</v>
      </c>
      <c r="Y416" s="35" t="n">
        <v>0</v>
      </c>
      <c r="Z416" s="35" t="n">
        <v>1</v>
      </c>
      <c r="AA416" s="35" t="n">
        <v>0</v>
      </c>
      <c r="AB416" s="35" t="n">
        <v>0</v>
      </c>
      <c r="AC416" s="33" t="s">
        <v>517</v>
      </c>
      <c r="AD416" s="36" t="n">
        <f aca="false">B416-B415</f>
        <v>0.125</v>
      </c>
    </row>
    <row r="417" customFormat="false" ht="15" hidden="false" customHeight="false" outlineLevel="0" collapsed="false">
      <c r="A417" s="30" t="n">
        <v>414</v>
      </c>
      <c r="B417" s="31" t="n">
        <f aca="false">Summary!$B$5+IF(D417=1,0,IF(C417=1,Summary!$B$6,NA()))+(MATCH(1,E417:L417,0)-1)*Summary!$B$7+(MATCH(1,M417:T417,0)-1)*Summary!$B$8+(MATCH(1,U417:AB417,0)-1)*Summary!$B$9</f>
        <v>81.75</v>
      </c>
      <c r="C417" s="32" t="n">
        <v>0</v>
      </c>
      <c r="D417" s="32" t="n">
        <v>1</v>
      </c>
      <c r="E417" s="32" t="n">
        <v>0</v>
      </c>
      <c r="F417" s="32" t="n">
        <v>0</v>
      </c>
      <c r="G417" s="32" t="n">
        <v>0</v>
      </c>
      <c r="H417" s="32" t="n">
        <v>0</v>
      </c>
      <c r="I417" s="32" t="n">
        <v>0</v>
      </c>
      <c r="J417" s="32" t="n">
        <v>0</v>
      </c>
      <c r="K417" s="32" t="n">
        <v>1</v>
      </c>
      <c r="L417" s="32" t="n">
        <v>0</v>
      </c>
      <c r="M417" s="32" t="n">
        <v>0</v>
      </c>
      <c r="N417" s="32" t="n">
        <v>0</v>
      </c>
      <c r="O417" s="32" t="n">
        <v>0</v>
      </c>
      <c r="P417" s="32" t="n">
        <v>1</v>
      </c>
      <c r="Q417" s="32" t="n">
        <v>0</v>
      </c>
      <c r="R417" s="32" t="n">
        <v>0</v>
      </c>
      <c r="S417" s="32" t="n">
        <v>0</v>
      </c>
      <c r="T417" s="32" t="n">
        <v>0</v>
      </c>
      <c r="U417" s="32" t="n">
        <v>0</v>
      </c>
      <c r="V417" s="32" t="n">
        <v>0</v>
      </c>
      <c r="W417" s="32" t="n">
        <v>0</v>
      </c>
      <c r="X417" s="32" t="n">
        <v>0</v>
      </c>
      <c r="Y417" s="32" t="n">
        <v>0</v>
      </c>
      <c r="Z417" s="32" t="n">
        <v>0</v>
      </c>
      <c r="AA417" s="32" t="n">
        <v>1</v>
      </c>
      <c r="AB417" s="32" t="n">
        <v>0</v>
      </c>
      <c r="AC417" s="30" t="s">
        <v>518</v>
      </c>
      <c r="AD417" s="37" t="n">
        <f aca="false">B417-B416</f>
        <v>0.125</v>
      </c>
    </row>
    <row r="418" customFormat="false" ht="15" hidden="false" customHeight="false" outlineLevel="0" collapsed="false">
      <c r="A418" s="33" t="n">
        <v>415</v>
      </c>
      <c r="B418" s="34" t="n">
        <f aca="false">Summary!$B$5+IF(D418=1,0,IF(C418=1,Summary!$B$6,NA()))+(MATCH(1,E418:L418,0)-1)*Summary!$B$7+(MATCH(1,M418:T418,0)-1)*Summary!$B$8+(MATCH(1,U418:AB418,0)-1)*Summary!$B$9</f>
        <v>81.875</v>
      </c>
      <c r="C418" s="35" t="n">
        <v>0</v>
      </c>
      <c r="D418" s="35" t="n">
        <v>1</v>
      </c>
      <c r="E418" s="35" t="n">
        <v>0</v>
      </c>
      <c r="F418" s="35" t="n">
        <v>0</v>
      </c>
      <c r="G418" s="35" t="n">
        <v>0</v>
      </c>
      <c r="H418" s="35" t="n">
        <v>0</v>
      </c>
      <c r="I418" s="35" t="n">
        <v>0</v>
      </c>
      <c r="J418" s="35" t="n">
        <v>0</v>
      </c>
      <c r="K418" s="35" t="n">
        <v>1</v>
      </c>
      <c r="L418" s="35" t="n">
        <v>0</v>
      </c>
      <c r="M418" s="35" t="n">
        <v>0</v>
      </c>
      <c r="N418" s="35" t="n">
        <v>0</v>
      </c>
      <c r="O418" s="35" t="n">
        <v>0</v>
      </c>
      <c r="P418" s="35" t="n">
        <v>1</v>
      </c>
      <c r="Q418" s="35" t="n">
        <v>0</v>
      </c>
      <c r="R418" s="35" t="n">
        <v>0</v>
      </c>
      <c r="S418" s="35" t="n">
        <v>0</v>
      </c>
      <c r="T418" s="35" t="n">
        <v>0</v>
      </c>
      <c r="U418" s="35" t="n">
        <v>0</v>
      </c>
      <c r="V418" s="35" t="n">
        <v>0</v>
      </c>
      <c r="W418" s="35" t="n">
        <v>0</v>
      </c>
      <c r="X418" s="35" t="n">
        <v>0</v>
      </c>
      <c r="Y418" s="35" t="n">
        <v>0</v>
      </c>
      <c r="Z418" s="35" t="n">
        <v>0</v>
      </c>
      <c r="AA418" s="35" t="n">
        <v>0</v>
      </c>
      <c r="AB418" s="35" t="n">
        <v>1</v>
      </c>
      <c r="AC418" s="33" t="s">
        <v>519</v>
      </c>
      <c r="AD418" s="36" t="n">
        <f aca="false">B418-B417</f>
        <v>0.125</v>
      </c>
    </row>
    <row r="419" customFormat="false" ht="15" hidden="false" customHeight="false" outlineLevel="0" collapsed="false">
      <c r="A419" s="30" t="n">
        <v>416</v>
      </c>
      <c r="B419" s="31" t="n">
        <f aca="false">Summary!$B$5+IF(D419=1,0,IF(C419=1,Summary!$B$6,NA()))+(MATCH(1,E419:L419,0)-1)*Summary!$B$7+(MATCH(1,M419:T419,0)-1)*Summary!$B$8+(MATCH(1,U419:AB419,0)-1)*Summary!$B$9</f>
        <v>82</v>
      </c>
      <c r="C419" s="32" t="n">
        <v>0</v>
      </c>
      <c r="D419" s="32" t="n">
        <v>1</v>
      </c>
      <c r="E419" s="32" t="n">
        <v>0</v>
      </c>
      <c r="F419" s="32" t="n">
        <v>0</v>
      </c>
      <c r="G419" s="32" t="n">
        <v>0</v>
      </c>
      <c r="H419" s="32" t="n">
        <v>0</v>
      </c>
      <c r="I419" s="32" t="n">
        <v>0</v>
      </c>
      <c r="J419" s="32" t="n">
        <v>0</v>
      </c>
      <c r="K419" s="32" t="n">
        <v>1</v>
      </c>
      <c r="L419" s="32" t="n">
        <v>0</v>
      </c>
      <c r="M419" s="32" t="n">
        <v>0</v>
      </c>
      <c r="N419" s="32" t="n">
        <v>0</v>
      </c>
      <c r="O419" s="32" t="n">
        <v>0</v>
      </c>
      <c r="P419" s="32" t="n">
        <v>0</v>
      </c>
      <c r="Q419" s="32" t="n">
        <v>1</v>
      </c>
      <c r="R419" s="32" t="n">
        <v>0</v>
      </c>
      <c r="S419" s="32" t="n">
        <v>0</v>
      </c>
      <c r="T419" s="32" t="n">
        <v>0</v>
      </c>
      <c r="U419" s="32" t="n">
        <v>1</v>
      </c>
      <c r="V419" s="32" t="n">
        <v>0</v>
      </c>
      <c r="W419" s="32" t="n">
        <v>0</v>
      </c>
      <c r="X419" s="32" t="n">
        <v>0</v>
      </c>
      <c r="Y419" s="32" t="n">
        <v>0</v>
      </c>
      <c r="Z419" s="32" t="n">
        <v>0</v>
      </c>
      <c r="AA419" s="32" t="n">
        <v>0</v>
      </c>
      <c r="AB419" s="32" t="n">
        <v>0</v>
      </c>
      <c r="AC419" s="30" t="s">
        <v>520</v>
      </c>
      <c r="AD419" s="37" t="n">
        <f aca="false">B419-B418</f>
        <v>0.125</v>
      </c>
    </row>
    <row r="420" customFormat="false" ht="15" hidden="false" customHeight="false" outlineLevel="0" collapsed="false">
      <c r="A420" s="33" t="n">
        <v>417</v>
      </c>
      <c r="B420" s="34" t="n">
        <f aca="false">Summary!$B$5+IF(D420=1,0,IF(C420=1,Summary!$B$6,NA()))+(MATCH(1,E420:L420,0)-1)*Summary!$B$7+(MATCH(1,M420:T420,0)-1)*Summary!$B$8+(MATCH(1,U420:AB420,0)-1)*Summary!$B$9</f>
        <v>82.125</v>
      </c>
      <c r="C420" s="35" t="n">
        <v>0</v>
      </c>
      <c r="D420" s="35" t="n">
        <v>1</v>
      </c>
      <c r="E420" s="35" t="n">
        <v>0</v>
      </c>
      <c r="F420" s="35" t="n">
        <v>0</v>
      </c>
      <c r="G420" s="35" t="n">
        <v>0</v>
      </c>
      <c r="H420" s="35" t="n">
        <v>0</v>
      </c>
      <c r="I420" s="35" t="n">
        <v>0</v>
      </c>
      <c r="J420" s="35" t="n">
        <v>0</v>
      </c>
      <c r="K420" s="35" t="n">
        <v>1</v>
      </c>
      <c r="L420" s="35" t="n">
        <v>0</v>
      </c>
      <c r="M420" s="35" t="n">
        <v>0</v>
      </c>
      <c r="N420" s="35" t="n">
        <v>0</v>
      </c>
      <c r="O420" s="35" t="n">
        <v>0</v>
      </c>
      <c r="P420" s="35" t="n">
        <v>0</v>
      </c>
      <c r="Q420" s="35" t="n">
        <v>1</v>
      </c>
      <c r="R420" s="35" t="n">
        <v>0</v>
      </c>
      <c r="S420" s="35" t="n">
        <v>0</v>
      </c>
      <c r="T420" s="35" t="n">
        <v>0</v>
      </c>
      <c r="U420" s="35" t="n">
        <v>0</v>
      </c>
      <c r="V420" s="35" t="n">
        <v>1</v>
      </c>
      <c r="W420" s="35" t="n">
        <v>0</v>
      </c>
      <c r="X420" s="35" t="n">
        <v>0</v>
      </c>
      <c r="Y420" s="35" t="n">
        <v>0</v>
      </c>
      <c r="Z420" s="35" t="n">
        <v>0</v>
      </c>
      <c r="AA420" s="35" t="n">
        <v>0</v>
      </c>
      <c r="AB420" s="35" t="n">
        <v>0</v>
      </c>
      <c r="AC420" s="33" t="s">
        <v>521</v>
      </c>
      <c r="AD420" s="36" t="n">
        <f aca="false">B420-B419</f>
        <v>0.125</v>
      </c>
    </row>
    <row r="421" customFormat="false" ht="15" hidden="false" customHeight="false" outlineLevel="0" collapsed="false">
      <c r="A421" s="30" t="n">
        <v>418</v>
      </c>
      <c r="B421" s="31" t="n">
        <f aca="false">Summary!$B$5+IF(D421=1,0,IF(C421=1,Summary!$B$6,NA()))+(MATCH(1,E421:L421,0)-1)*Summary!$B$7+(MATCH(1,M421:T421,0)-1)*Summary!$B$8+(MATCH(1,U421:AB421,0)-1)*Summary!$B$9</f>
        <v>82.25</v>
      </c>
      <c r="C421" s="32" t="n">
        <v>0</v>
      </c>
      <c r="D421" s="32" t="n">
        <v>1</v>
      </c>
      <c r="E421" s="32" t="n">
        <v>0</v>
      </c>
      <c r="F421" s="32" t="n">
        <v>0</v>
      </c>
      <c r="G421" s="32" t="n">
        <v>0</v>
      </c>
      <c r="H421" s="32" t="n">
        <v>0</v>
      </c>
      <c r="I421" s="32" t="n">
        <v>0</v>
      </c>
      <c r="J421" s="32" t="n">
        <v>0</v>
      </c>
      <c r="K421" s="32" t="n">
        <v>1</v>
      </c>
      <c r="L421" s="32" t="n">
        <v>0</v>
      </c>
      <c r="M421" s="32" t="n">
        <v>0</v>
      </c>
      <c r="N421" s="32" t="n">
        <v>0</v>
      </c>
      <c r="O421" s="32" t="n">
        <v>0</v>
      </c>
      <c r="P421" s="32" t="n">
        <v>0</v>
      </c>
      <c r="Q421" s="32" t="n">
        <v>1</v>
      </c>
      <c r="R421" s="32" t="n">
        <v>0</v>
      </c>
      <c r="S421" s="32" t="n">
        <v>0</v>
      </c>
      <c r="T421" s="32" t="n">
        <v>0</v>
      </c>
      <c r="U421" s="32" t="n">
        <v>0</v>
      </c>
      <c r="V421" s="32" t="n">
        <v>0</v>
      </c>
      <c r="W421" s="32" t="n">
        <v>1</v>
      </c>
      <c r="X421" s="32" t="n">
        <v>0</v>
      </c>
      <c r="Y421" s="32" t="n">
        <v>0</v>
      </c>
      <c r="Z421" s="32" t="n">
        <v>0</v>
      </c>
      <c r="AA421" s="32" t="n">
        <v>0</v>
      </c>
      <c r="AB421" s="32" t="n">
        <v>0</v>
      </c>
      <c r="AC421" s="30" t="s">
        <v>522</v>
      </c>
      <c r="AD421" s="37" t="n">
        <f aca="false">B421-B420</f>
        <v>0.125</v>
      </c>
    </row>
    <row r="422" customFormat="false" ht="15" hidden="false" customHeight="false" outlineLevel="0" collapsed="false">
      <c r="A422" s="33" t="n">
        <v>419</v>
      </c>
      <c r="B422" s="34" t="n">
        <f aca="false">Summary!$B$5+IF(D422=1,0,IF(C422=1,Summary!$B$6,NA()))+(MATCH(1,E422:L422,0)-1)*Summary!$B$7+(MATCH(1,M422:T422,0)-1)*Summary!$B$8+(MATCH(1,U422:AB422,0)-1)*Summary!$B$9</f>
        <v>82.375</v>
      </c>
      <c r="C422" s="35" t="n">
        <v>0</v>
      </c>
      <c r="D422" s="35" t="n">
        <v>1</v>
      </c>
      <c r="E422" s="35" t="n">
        <v>0</v>
      </c>
      <c r="F422" s="35" t="n">
        <v>0</v>
      </c>
      <c r="G422" s="35" t="n">
        <v>0</v>
      </c>
      <c r="H422" s="35" t="n">
        <v>0</v>
      </c>
      <c r="I422" s="35" t="n">
        <v>0</v>
      </c>
      <c r="J422" s="35" t="n">
        <v>0</v>
      </c>
      <c r="K422" s="35" t="n">
        <v>1</v>
      </c>
      <c r="L422" s="35" t="n">
        <v>0</v>
      </c>
      <c r="M422" s="35" t="n">
        <v>0</v>
      </c>
      <c r="N422" s="35" t="n">
        <v>0</v>
      </c>
      <c r="O422" s="35" t="n">
        <v>0</v>
      </c>
      <c r="P422" s="35" t="n">
        <v>0</v>
      </c>
      <c r="Q422" s="35" t="n">
        <v>1</v>
      </c>
      <c r="R422" s="35" t="n">
        <v>0</v>
      </c>
      <c r="S422" s="35" t="n">
        <v>0</v>
      </c>
      <c r="T422" s="35" t="n">
        <v>0</v>
      </c>
      <c r="U422" s="35" t="n">
        <v>0</v>
      </c>
      <c r="V422" s="35" t="n">
        <v>0</v>
      </c>
      <c r="W422" s="35" t="n">
        <v>0</v>
      </c>
      <c r="X422" s="35" t="n">
        <v>1</v>
      </c>
      <c r="Y422" s="35" t="n">
        <v>0</v>
      </c>
      <c r="Z422" s="35" t="n">
        <v>0</v>
      </c>
      <c r="AA422" s="35" t="n">
        <v>0</v>
      </c>
      <c r="AB422" s="35" t="n">
        <v>0</v>
      </c>
      <c r="AC422" s="33" t="s">
        <v>523</v>
      </c>
      <c r="AD422" s="36" t="n">
        <f aca="false">B422-B421</f>
        <v>0.125</v>
      </c>
    </row>
    <row r="423" customFormat="false" ht="15" hidden="false" customHeight="false" outlineLevel="0" collapsed="false">
      <c r="A423" s="30" t="n">
        <v>420</v>
      </c>
      <c r="B423" s="31" t="n">
        <f aca="false">Summary!$B$5+IF(D423=1,0,IF(C423=1,Summary!$B$6,NA()))+(MATCH(1,E423:L423,0)-1)*Summary!$B$7+(MATCH(1,M423:T423,0)-1)*Summary!$B$8+(MATCH(1,U423:AB423,0)-1)*Summary!$B$9</f>
        <v>82.5</v>
      </c>
      <c r="C423" s="32" t="n">
        <v>0</v>
      </c>
      <c r="D423" s="32" t="n">
        <v>1</v>
      </c>
      <c r="E423" s="32" t="n">
        <v>0</v>
      </c>
      <c r="F423" s="32" t="n">
        <v>0</v>
      </c>
      <c r="G423" s="32" t="n">
        <v>0</v>
      </c>
      <c r="H423" s="32" t="n">
        <v>0</v>
      </c>
      <c r="I423" s="32" t="n">
        <v>0</v>
      </c>
      <c r="J423" s="32" t="n">
        <v>0</v>
      </c>
      <c r="K423" s="32" t="n">
        <v>1</v>
      </c>
      <c r="L423" s="32" t="n">
        <v>0</v>
      </c>
      <c r="M423" s="32" t="n">
        <v>0</v>
      </c>
      <c r="N423" s="32" t="n">
        <v>0</v>
      </c>
      <c r="O423" s="32" t="n">
        <v>0</v>
      </c>
      <c r="P423" s="32" t="n">
        <v>0</v>
      </c>
      <c r="Q423" s="32" t="n">
        <v>1</v>
      </c>
      <c r="R423" s="32" t="n">
        <v>0</v>
      </c>
      <c r="S423" s="32" t="n">
        <v>0</v>
      </c>
      <c r="T423" s="32" t="n">
        <v>0</v>
      </c>
      <c r="U423" s="32" t="n">
        <v>0</v>
      </c>
      <c r="V423" s="32" t="n">
        <v>0</v>
      </c>
      <c r="W423" s="32" t="n">
        <v>0</v>
      </c>
      <c r="X423" s="32" t="n">
        <v>0</v>
      </c>
      <c r="Y423" s="32" t="n">
        <v>1</v>
      </c>
      <c r="Z423" s="32" t="n">
        <v>0</v>
      </c>
      <c r="AA423" s="32" t="n">
        <v>0</v>
      </c>
      <c r="AB423" s="32" t="n">
        <v>0</v>
      </c>
      <c r="AC423" s="30" t="s">
        <v>524</v>
      </c>
      <c r="AD423" s="37" t="n">
        <f aca="false">B423-B422</f>
        <v>0.125</v>
      </c>
    </row>
    <row r="424" customFormat="false" ht="15" hidden="false" customHeight="false" outlineLevel="0" collapsed="false">
      <c r="A424" s="33" t="n">
        <v>421</v>
      </c>
      <c r="B424" s="34" t="n">
        <f aca="false">Summary!$B$5+IF(D424=1,0,IF(C424=1,Summary!$B$6,NA()))+(MATCH(1,E424:L424,0)-1)*Summary!$B$7+(MATCH(1,M424:T424,0)-1)*Summary!$B$8+(MATCH(1,U424:AB424,0)-1)*Summary!$B$9</f>
        <v>82.625</v>
      </c>
      <c r="C424" s="35" t="n">
        <v>0</v>
      </c>
      <c r="D424" s="35" t="n">
        <v>1</v>
      </c>
      <c r="E424" s="35" t="n">
        <v>0</v>
      </c>
      <c r="F424" s="35" t="n">
        <v>0</v>
      </c>
      <c r="G424" s="35" t="n">
        <v>0</v>
      </c>
      <c r="H424" s="35" t="n">
        <v>0</v>
      </c>
      <c r="I424" s="35" t="n">
        <v>0</v>
      </c>
      <c r="J424" s="35" t="n">
        <v>0</v>
      </c>
      <c r="K424" s="35" t="n">
        <v>1</v>
      </c>
      <c r="L424" s="35" t="n">
        <v>0</v>
      </c>
      <c r="M424" s="35" t="n">
        <v>0</v>
      </c>
      <c r="N424" s="35" t="n">
        <v>0</v>
      </c>
      <c r="O424" s="35" t="n">
        <v>0</v>
      </c>
      <c r="P424" s="35" t="n">
        <v>0</v>
      </c>
      <c r="Q424" s="35" t="n">
        <v>1</v>
      </c>
      <c r="R424" s="35" t="n">
        <v>0</v>
      </c>
      <c r="S424" s="35" t="n">
        <v>0</v>
      </c>
      <c r="T424" s="35" t="n">
        <v>0</v>
      </c>
      <c r="U424" s="35" t="n">
        <v>0</v>
      </c>
      <c r="V424" s="35" t="n">
        <v>0</v>
      </c>
      <c r="W424" s="35" t="n">
        <v>0</v>
      </c>
      <c r="X424" s="35" t="n">
        <v>0</v>
      </c>
      <c r="Y424" s="35" t="n">
        <v>0</v>
      </c>
      <c r="Z424" s="35" t="n">
        <v>1</v>
      </c>
      <c r="AA424" s="35" t="n">
        <v>0</v>
      </c>
      <c r="AB424" s="35" t="n">
        <v>0</v>
      </c>
      <c r="AC424" s="33" t="s">
        <v>525</v>
      </c>
      <c r="AD424" s="36" t="n">
        <f aca="false">B424-B423</f>
        <v>0.125</v>
      </c>
    </row>
    <row r="425" customFormat="false" ht="15" hidden="false" customHeight="false" outlineLevel="0" collapsed="false">
      <c r="A425" s="30" t="n">
        <v>422</v>
      </c>
      <c r="B425" s="31" t="n">
        <f aca="false">Summary!$B$5+IF(D425=1,0,IF(C425=1,Summary!$B$6,NA()))+(MATCH(1,E425:L425,0)-1)*Summary!$B$7+(MATCH(1,M425:T425,0)-1)*Summary!$B$8+(MATCH(1,U425:AB425,0)-1)*Summary!$B$9</f>
        <v>82.75</v>
      </c>
      <c r="C425" s="32" t="n">
        <v>0</v>
      </c>
      <c r="D425" s="32" t="n">
        <v>1</v>
      </c>
      <c r="E425" s="32" t="n">
        <v>0</v>
      </c>
      <c r="F425" s="32" t="n">
        <v>0</v>
      </c>
      <c r="G425" s="32" t="n">
        <v>0</v>
      </c>
      <c r="H425" s="32" t="n">
        <v>0</v>
      </c>
      <c r="I425" s="32" t="n">
        <v>0</v>
      </c>
      <c r="J425" s="32" t="n">
        <v>0</v>
      </c>
      <c r="K425" s="32" t="n">
        <v>1</v>
      </c>
      <c r="L425" s="32" t="n">
        <v>0</v>
      </c>
      <c r="M425" s="32" t="n">
        <v>0</v>
      </c>
      <c r="N425" s="32" t="n">
        <v>0</v>
      </c>
      <c r="O425" s="32" t="n">
        <v>0</v>
      </c>
      <c r="P425" s="32" t="n">
        <v>0</v>
      </c>
      <c r="Q425" s="32" t="n">
        <v>1</v>
      </c>
      <c r="R425" s="32" t="n">
        <v>0</v>
      </c>
      <c r="S425" s="32" t="n">
        <v>0</v>
      </c>
      <c r="T425" s="32" t="n">
        <v>0</v>
      </c>
      <c r="U425" s="32" t="n">
        <v>0</v>
      </c>
      <c r="V425" s="32" t="n">
        <v>0</v>
      </c>
      <c r="W425" s="32" t="n">
        <v>0</v>
      </c>
      <c r="X425" s="32" t="n">
        <v>0</v>
      </c>
      <c r="Y425" s="32" t="n">
        <v>0</v>
      </c>
      <c r="Z425" s="32" t="n">
        <v>0</v>
      </c>
      <c r="AA425" s="32" t="n">
        <v>1</v>
      </c>
      <c r="AB425" s="32" t="n">
        <v>0</v>
      </c>
      <c r="AC425" s="30" t="s">
        <v>526</v>
      </c>
      <c r="AD425" s="37" t="n">
        <f aca="false">B425-B424</f>
        <v>0.125</v>
      </c>
    </row>
    <row r="426" customFormat="false" ht="15" hidden="false" customHeight="false" outlineLevel="0" collapsed="false">
      <c r="A426" s="33" t="n">
        <v>423</v>
      </c>
      <c r="B426" s="34" t="n">
        <f aca="false">Summary!$B$5+IF(D426=1,0,IF(C426=1,Summary!$B$6,NA()))+(MATCH(1,E426:L426,0)-1)*Summary!$B$7+(MATCH(1,M426:T426,0)-1)*Summary!$B$8+(MATCH(1,U426:AB426,0)-1)*Summary!$B$9</f>
        <v>82.875</v>
      </c>
      <c r="C426" s="35" t="n">
        <v>0</v>
      </c>
      <c r="D426" s="35" t="n">
        <v>1</v>
      </c>
      <c r="E426" s="35" t="n">
        <v>0</v>
      </c>
      <c r="F426" s="35" t="n">
        <v>0</v>
      </c>
      <c r="G426" s="35" t="n">
        <v>0</v>
      </c>
      <c r="H426" s="35" t="n">
        <v>0</v>
      </c>
      <c r="I426" s="35" t="n">
        <v>0</v>
      </c>
      <c r="J426" s="35" t="n">
        <v>0</v>
      </c>
      <c r="K426" s="35" t="n">
        <v>1</v>
      </c>
      <c r="L426" s="35" t="n">
        <v>0</v>
      </c>
      <c r="M426" s="35" t="n">
        <v>0</v>
      </c>
      <c r="N426" s="35" t="n">
        <v>0</v>
      </c>
      <c r="O426" s="35" t="n">
        <v>0</v>
      </c>
      <c r="P426" s="35" t="n">
        <v>0</v>
      </c>
      <c r="Q426" s="35" t="n">
        <v>1</v>
      </c>
      <c r="R426" s="35" t="n">
        <v>0</v>
      </c>
      <c r="S426" s="35" t="n">
        <v>0</v>
      </c>
      <c r="T426" s="35" t="n">
        <v>0</v>
      </c>
      <c r="U426" s="35" t="n">
        <v>0</v>
      </c>
      <c r="V426" s="35" t="n">
        <v>0</v>
      </c>
      <c r="W426" s="35" t="n">
        <v>0</v>
      </c>
      <c r="X426" s="35" t="n">
        <v>0</v>
      </c>
      <c r="Y426" s="35" t="n">
        <v>0</v>
      </c>
      <c r="Z426" s="35" t="n">
        <v>0</v>
      </c>
      <c r="AA426" s="35" t="n">
        <v>0</v>
      </c>
      <c r="AB426" s="35" t="n">
        <v>1</v>
      </c>
      <c r="AC426" s="33" t="s">
        <v>527</v>
      </c>
      <c r="AD426" s="36" t="n">
        <f aca="false">B426-B425</f>
        <v>0.125</v>
      </c>
    </row>
    <row r="427" customFormat="false" ht="15" hidden="false" customHeight="false" outlineLevel="0" collapsed="false">
      <c r="A427" s="30" t="n">
        <v>424</v>
      </c>
      <c r="B427" s="31" t="n">
        <f aca="false">Summary!$B$5+IF(D427=1,0,IF(C427=1,Summary!$B$6,NA()))+(MATCH(1,E427:L427,0)-1)*Summary!$B$7+(MATCH(1,M427:T427,0)-1)*Summary!$B$8+(MATCH(1,U427:AB427,0)-1)*Summary!$B$9</f>
        <v>83</v>
      </c>
      <c r="C427" s="32" t="n">
        <v>0</v>
      </c>
      <c r="D427" s="32" t="n">
        <v>1</v>
      </c>
      <c r="E427" s="32" t="n">
        <v>0</v>
      </c>
      <c r="F427" s="32" t="n">
        <v>0</v>
      </c>
      <c r="G427" s="32" t="n">
        <v>0</v>
      </c>
      <c r="H427" s="32" t="n">
        <v>0</v>
      </c>
      <c r="I427" s="32" t="n">
        <v>0</v>
      </c>
      <c r="J427" s="32" t="n">
        <v>0</v>
      </c>
      <c r="K427" s="32" t="n">
        <v>1</v>
      </c>
      <c r="L427" s="32" t="n">
        <v>0</v>
      </c>
      <c r="M427" s="32" t="n">
        <v>0</v>
      </c>
      <c r="N427" s="32" t="n">
        <v>0</v>
      </c>
      <c r="O427" s="32" t="n">
        <v>0</v>
      </c>
      <c r="P427" s="32" t="n">
        <v>0</v>
      </c>
      <c r="Q427" s="32" t="n">
        <v>0</v>
      </c>
      <c r="R427" s="32" t="n">
        <v>1</v>
      </c>
      <c r="S427" s="32" t="n">
        <v>0</v>
      </c>
      <c r="T427" s="32" t="n">
        <v>0</v>
      </c>
      <c r="U427" s="32" t="n">
        <v>1</v>
      </c>
      <c r="V427" s="32" t="n">
        <v>0</v>
      </c>
      <c r="W427" s="32" t="n">
        <v>0</v>
      </c>
      <c r="X427" s="32" t="n">
        <v>0</v>
      </c>
      <c r="Y427" s="32" t="n">
        <v>0</v>
      </c>
      <c r="Z427" s="32" t="n">
        <v>0</v>
      </c>
      <c r="AA427" s="32" t="n">
        <v>0</v>
      </c>
      <c r="AB427" s="32" t="n">
        <v>0</v>
      </c>
      <c r="AC427" s="30" t="s">
        <v>528</v>
      </c>
      <c r="AD427" s="37" t="n">
        <f aca="false">B427-B426</f>
        <v>0.125</v>
      </c>
    </row>
    <row r="428" customFormat="false" ht="15" hidden="false" customHeight="false" outlineLevel="0" collapsed="false">
      <c r="A428" s="33" t="n">
        <v>425</v>
      </c>
      <c r="B428" s="34" t="n">
        <f aca="false">Summary!$B$5+IF(D428=1,0,IF(C428=1,Summary!$B$6,NA()))+(MATCH(1,E428:L428,0)-1)*Summary!$B$7+(MATCH(1,M428:T428,0)-1)*Summary!$B$8+(MATCH(1,U428:AB428,0)-1)*Summary!$B$9</f>
        <v>83.125</v>
      </c>
      <c r="C428" s="35" t="n">
        <v>0</v>
      </c>
      <c r="D428" s="35" t="n">
        <v>1</v>
      </c>
      <c r="E428" s="35" t="n">
        <v>0</v>
      </c>
      <c r="F428" s="35" t="n">
        <v>0</v>
      </c>
      <c r="G428" s="35" t="n">
        <v>0</v>
      </c>
      <c r="H428" s="35" t="n">
        <v>0</v>
      </c>
      <c r="I428" s="35" t="n">
        <v>0</v>
      </c>
      <c r="J428" s="35" t="n">
        <v>0</v>
      </c>
      <c r="K428" s="35" t="n">
        <v>1</v>
      </c>
      <c r="L428" s="35" t="n">
        <v>0</v>
      </c>
      <c r="M428" s="35" t="n">
        <v>0</v>
      </c>
      <c r="N428" s="35" t="n">
        <v>0</v>
      </c>
      <c r="O428" s="35" t="n">
        <v>0</v>
      </c>
      <c r="P428" s="35" t="n">
        <v>0</v>
      </c>
      <c r="Q428" s="35" t="n">
        <v>0</v>
      </c>
      <c r="R428" s="35" t="n">
        <v>1</v>
      </c>
      <c r="S428" s="35" t="n">
        <v>0</v>
      </c>
      <c r="T428" s="35" t="n">
        <v>0</v>
      </c>
      <c r="U428" s="35" t="n">
        <v>0</v>
      </c>
      <c r="V428" s="35" t="n">
        <v>1</v>
      </c>
      <c r="W428" s="35" t="n">
        <v>0</v>
      </c>
      <c r="X428" s="35" t="n">
        <v>0</v>
      </c>
      <c r="Y428" s="35" t="n">
        <v>0</v>
      </c>
      <c r="Z428" s="35" t="n">
        <v>0</v>
      </c>
      <c r="AA428" s="35" t="n">
        <v>0</v>
      </c>
      <c r="AB428" s="35" t="n">
        <v>0</v>
      </c>
      <c r="AC428" s="33" t="s">
        <v>529</v>
      </c>
      <c r="AD428" s="36" t="n">
        <f aca="false">B428-B427</f>
        <v>0.125</v>
      </c>
    </row>
    <row r="429" customFormat="false" ht="15" hidden="false" customHeight="false" outlineLevel="0" collapsed="false">
      <c r="A429" s="30" t="n">
        <v>426</v>
      </c>
      <c r="B429" s="31" t="n">
        <f aca="false">Summary!$B$5+IF(D429=1,0,IF(C429=1,Summary!$B$6,NA()))+(MATCH(1,E429:L429,0)-1)*Summary!$B$7+(MATCH(1,M429:T429,0)-1)*Summary!$B$8+(MATCH(1,U429:AB429,0)-1)*Summary!$B$9</f>
        <v>83.25</v>
      </c>
      <c r="C429" s="32" t="n">
        <v>0</v>
      </c>
      <c r="D429" s="32" t="n">
        <v>1</v>
      </c>
      <c r="E429" s="32" t="n">
        <v>0</v>
      </c>
      <c r="F429" s="32" t="n">
        <v>0</v>
      </c>
      <c r="G429" s="32" t="n">
        <v>0</v>
      </c>
      <c r="H429" s="32" t="n">
        <v>0</v>
      </c>
      <c r="I429" s="32" t="n">
        <v>0</v>
      </c>
      <c r="J429" s="32" t="n">
        <v>0</v>
      </c>
      <c r="K429" s="32" t="n">
        <v>1</v>
      </c>
      <c r="L429" s="32" t="n">
        <v>0</v>
      </c>
      <c r="M429" s="32" t="n">
        <v>0</v>
      </c>
      <c r="N429" s="32" t="n">
        <v>0</v>
      </c>
      <c r="O429" s="32" t="n">
        <v>0</v>
      </c>
      <c r="P429" s="32" t="n">
        <v>0</v>
      </c>
      <c r="Q429" s="32" t="n">
        <v>0</v>
      </c>
      <c r="R429" s="32" t="n">
        <v>1</v>
      </c>
      <c r="S429" s="32" t="n">
        <v>0</v>
      </c>
      <c r="T429" s="32" t="n">
        <v>0</v>
      </c>
      <c r="U429" s="32" t="n">
        <v>0</v>
      </c>
      <c r="V429" s="32" t="n">
        <v>0</v>
      </c>
      <c r="W429" s="32" t="n">
        <v>1</v>
      </c>
      <c r="X429" s="32" t="n">
        <v>0</v>
      </c>
      <c r="Y429" s="32" t="n">
        <v>0</v>
      </c>
      <c r="Z429" s="32" t="n">
        <v>0</v>
      </c>
      <c r="AA429" s="32" t="n">
        <v>0</v>
      </c>
      <c r="AB429" s="32" t="n">
        <v>0</v>
      </c>
      <c r="AC429" s="30" t="s">
        <v>530</v>
      </c>
      <c r="AD429" s="37" t="n">
        <f aca="false">B429-B428</f>
        <v>0.125</v>
      </c>
    </row>
    <row r="430" customFormat="false" ht="15" hidden="false" customHeight="false" outlineLevel="0" collapsed="false">
      <c r="A430" s="33" t="n">
        <v>427</v>
      </c>
      <c r="B430" s="34" t="n">
        <f aca="false">Summary!$B$5+IF(D430=1,0,IF(C430=1,Summary!$B$6,NA()))+(MATCH(1,E430:L430,0)-1)*Summary!$B$7+(MATCH(1,M430:T430,0)-1)*Summary!$B$8+(MATCH(1,U430:AB430,0)-1)*Summary!$B$9</f>
        <v>83.375</v>
      </c>
      <c r="C430" s="35" t="n">
        <v>0</v>
      </c>
      <c r="D430" s="35" t="n">
        <v>1</v>
      </c>
      <c r="E430" s="35" t="n">
        <v>0</v>
      </c>
      <c r="F430" s="35" t="n">
        <v>0</v>
      </c>
      <c r="G430" s="35" t="n">
        <v>0</v>
      </c>
      <c r="H430" s="35" t="n">
        <v>0</v>
      </c>
      <c r="I430" s="35" t="n">
        <v>0</v>
      </c>
      <c r="J430" s="35" t="n">
        <v>0</v>
      </c>
      <c r="K430" s="35" t="n">
        <v>1</v>
      </c>
      <c r="L430" s="35" t="n">
        <v>0</v>
      </c>
      <c r="M430" s="35" t="n">
        <v>0</v>
      </c>
      <c r="N430" s="35" t="n">
        <v>0</v>
      </c>
      <c r="O430" s="35" t="n">
        <v>0</v>
      </c>
      <c r="P430" s="35" t="n">
        <v>0</v>
      </c>
      <c r="Q430" s="35" t="n">
        <v>0</v>
      </c>
      <c r="R430" s="35" t="n">
        <v>1</v>
      </c>
      <c r="S430" s="35" t="n">
        <v>0</v>
      </c>
      <c r="T430" s="35" t="n">
        <v>0</v>
      </c>
      <c r="U430" s="35" t="n">
        <v>0</v>
      </c>
      <c r="V430" s="35" t="n">
        <v>0</v>
      </c>
      <c r="W430" s="35" t="n">
        <v>0</v>
      </c>
      <c r="X430" s="35" t="n">
        <v>1</v>
      </c>
      <c r="Y430" s="35" t="n">
        <v>0</v>
      </c>
      <c r="Z430" s="35" t="n">
        <v>0</v>
      </c>
      <c r="AA430" s="35" t="n">
        <v>0</v>
      </c>
      <c r="AB430" s="35" t="n">
        <v>0</v>
      </c>
      <c r="AC430" s="33" t="s">
        <v>531</v>
      </c>
      <c r="AD430" s="36" t="n">
        <f aca="false">B430-B429</f>
        <v>0.125</v>
      </c>
    </row>
    <row r="431" customFormat="false" ht="15" hidden="false" customHeight="false" outlineLevel="0" collapsed="false">
      <c r="A431" s="30" t="n">
        <v>428</v>
      </c>
      <c r="B431" s="31" t="n">
        <f aca="false">Summary!$B$5+IF(D431=1,0,IF(C431=1,Summary!$B$6,NA()))+(MATCH(1,E431:L431,0)-1)*Summary!$B$7+(MATCH(1,M431:T431,0)-1)*Summary!$B$8+(MATCH(1,U431:AB431,0)-1)*Summary!$B$9</f>
        <v>83.5</v>
      </c>
      <c r="C431" s="32" t="n">
        <v>0</v>
      </c>
      <c r="D431" s="32" t="n">
        <v>1</v>
      </c>
      <c r="E431" s="32" t="n">
        <v>0</v>
      </c>
      <c r="F431" s="32" t="n">
        <v>0</v>
      </c>
      <c r="G431" s="32" t="n">
        <v>0</v>
      </c>
      <c r="H431" s="32" t="n">
        <v>0</v>
      </c>
      <c r="I431" s="32" t="n">
        <v>0</v>
      </c>
      <c r="J431" s="32" t="n">
        <v>0</v>
      </c>
      <c r="K431" s="32" t="n">
        <v>1</v>
      </c>
      <c r="L431" s="32" t="n">
        <v>0</v>
      </c>
      <c r="M431" s="32" t="n">
        <v>0</v>
      </c>
      <c r="N431" s="32" t="n">
        <v>0</v>
      </c>
      <c r="O431" s="32" t="n">
        <v>0</v>
      </c>
      <c r="P431" s="32" t="n">
        <v>0</v>
      </c>
      <c r="Q431" s="32" t="n">
        <v>0</v>
      </c>
      <c r="R431" s="32" t="n">
        <v>1</v>
      </c>
      <c r="S431" s="32" t="n">
        <v>0</v>
      </c>
      <c r="T431" s="32" t="n">
        <v>0</v>
      </c>
      <c r="U431" s="32" t="n">
        <v>0</v>
      </c>
      <c r="V431" s="32" t="n">
        <v>0</v>
      </c>
      <c r="W431" s="32" t="n">
        <v>0</v>
      </c>
      <c r="X431" s="32" t="n">
        <v>0</v>
      </c>
      <c r="Y431" s="32" t="n">
        <v>1</v>
      </c>
      <c r="Z431" s="32" t="n">
        <v>0</v>
      </c>
      <c r="AA431" s="32" t="n">
        <v>0</v>
      </c>
      <c r="AB431" s="32" t="n">
        <v>0</v>
      </c>
      <c r="AC431" s="30" t="s">
        <v>532</v>
      </c>
      <c r="AD431" s="37" t="n">
        <f aca="false">B431-B430</f>
        <v>0.125</v>
      </c>
    </row>
    <row r="432" customFormat="false" ht="15" hidden="false" customHeight="false" outlineLevel="0" collapsed="false">
      <c r="A432" s="33" t="n">
        <v>429</v>
      </c>
      <c r="B432" s="34" t="n">
        <f aca="false">Summary!$B$5+IF(D432=1,0,IF(C432=1,Summary!$B$6,NA()))+(MATCH(1,E432:L432,0)-1)*Summary!$B$7+(MATCH(1,M432:T432,0)-1)*Summary!$B$8+(MATCH(1,U432:AB432,0)-1)*Summary!$B$9</f>
        <v>83.625</v>
      </c>
      <c r="C432" s="35" t="n">
        <v>0</v>
      </c>
      <c r="D432" s="35" t="n">
        <v>1</v>
      </c>
      <c r="E432" s="35" t="n">
        <v>0</v>
      </c>
      <c r="F432" s="35" t="n">
        <v>0</v>
      </c>
      <c r="G432" s="35" t="n">
        <v>0</v>
      </c>
      <c r="H432" s="35" t="n">
        <v>0</v>
      </c>
      <c r="I432" s="35" t="n">
        <v>0</v>
      </c>
      <c r="J432" s="35" t="n">
        <v>0</v>
      </c>
      <c r="K432" s="35" t="n">
        <v>1</v>
      </c>
      <c r="L432" s="35" t="n">
        <v>0</v>
      </c>
      <c r="M432" s="35" t="n">
        <v>0</v>
      </c>
      <c r="N432" s="35" t="n">
        <v>0</v>
      </c>
      <c r="O432" s="35" t="n">
        <v>0</v>
      </c>
      <c r="P432" s="35" t="n">
        <v>0</v>
      </c>
      <c r="Q432" s="35" t="n">
        <v>0</v>
      </c>
      <c r="R432" s="35" t="n">
        <v>1</v>
      </c>
      <c r="S432" s="35" t="n">
        <v>0</v>
      </c>
      <c r="T432" s="35" t="n">
        <v>0</v>
      </c>
      <c r="U432" s="35" t="n">
        <v>0</v>
      </c>
      <c r="V432" s="35" t="n">
        <v>0</v>
      </c>
      <c r="W432" s="35" t="n">
        <v>0</v>
      </c>
      <c r="X432" s="35" t="n">
        <v>0</v>
      </c>
      <c r="Y432" s="35" t="n">
        <v>0</v>
      </c>
      <c r="Z432" s="35" t="n">
        <v>1</v>
      </c>
      <c r="AA432" s="35" t="n">
        <v>0</v>
      </c>
      <c r="AB432" s="35" t="n">
        <v>0</v>
      </c>
      <c r="AC432" s="33" t="s">
        <v>533</v>
      </c>
      <c r="AD432" s="36" t="n">
        <f aca="false">B432-B431</f>
        <v>0.125</v>
      </c>
    </row>
    <row r="433" customFormat="false" ht="15" hidden="false" customHeight="false" outlineLevel="0" collapsed="false">
      <c r="A433" s="30" t="n">
        <v>430</v>
      </c>
      <c r="B433" s="31" t="n">
        <f aca="false">Summary!$B$5+IF(D433=1,0,IF(C433=1,Summary!$B$6,NA()))+(MATCH(1,E433:L433,0)-1)*Summary!$B$7+(MATCH(1,M433:T433,0)-1)*Summary!$B$8+(MATCH(1,U433:AB433,0)-1)*Summary!$B$9</f>
        <v>83.75</v>
      </c>
      <c r="C433" s="32" t="n">
        <v>0</v>
      </c>
      <c r="D433" s="32" t="n">
        <v>1</v>
      </c>
      <c r="E433" s="32" t="n">
        <v>0</v>
      </c>
      <c r="F433" s="32" t="n">
        <v>0</v>
      </c>
      <c r="G433" s="32" t="n">
        <v>0</v>
      </c>
      <c r="H433" s="32" t="n">
        <v>0</v>
      </c>
      <c r="I433" s="32" t="n">
        <v>0</v>
      </c>
      <c r="J433" s="32" t="n">
        <v>0</v>
      </c>
      <c r="K433" s="32" t="n">
        <v>1</v>
      </c>
      <c r="L433" s="32" t="n">
        <v>0</v>
      </c>
      <c r="M433" s="32" t="n">
        <v>0</v>
      </c>
      <c r="N433" s="32" t="n">
        <v>0</v>
      </c>
      <c r="O433" s="32" t="n">
        <v>0</v>
      </c>
      <c r="P433" s="32" t="n">
        <v>0</v>
      </c>
      <c r="Q433" s="32" t="n">
        <v>0</v>
      </c>
      <c r="R433" s="32" t="n">
        <v>1</v>
      </c>
      <c r="S433" s="32" t="n">
        <v>0</v>
      </c>
      <c r="T433" s="32" t="n">
        <v>0</v>
      </c>
      <c r="U433" s="32" t="n">
        <v>0</v>
      </c>
      <c r="V433" s="32" t="n">
        <v>0</v>
      </c>
      <c r="W433" s="32" t="n">
        <v>0</v>
      </c>
      <c r="X433" s="32" t="n">
        <v>0</v>
      </c>
      <c r="Y433" s="32" t="n">
        <v>0</v>
      </c>
      <c r="Z433" s="32" t="n">
        <v>0</v>
      </c>
      <c r="AA433" s="32" t="n">
        <v>1</v>
      </c>
      <c r="AB433" s="32" t="n">
        <v>0</v>
      </c>
      <c r="AC433" s="30" t="s">
        <v>534</v>
      </c>
      <c r="AD433" s="37" t="n">
        <f aca="false">B433-B432</f>
        <v>0.125</v>
      </c>
    </row>
    <row r="434" customFormat="false" ht="15" hidden="false" customHeight="false" outlineLevel="0" collapsed="false">
      <c r="A434" s="33" t="n">
        <v>431</v>
      </c>
      <c r="B434" s="34" t="n">
        <f aca="false">Summary!$B$5+IF(D434=1,0,IF(C434=1,Summary!$B$6,NA()))+(MATCH(1,E434:L434,0)-1)*Summary!$B$7+(MATCH(1,M434:T434,0)-1)*Summary!$B$8+(MATCH(1,U434:AB434,0)-1)*Summary!$B$9</f>
        <v>83.875</v>
      </c>
      <c r="C434" s="35" t="n">
        <v>0</v>
      </c>
      <c r="D434" s="35" t="n">
        <v>1</v>
      </c>
      <c r="E434" s="35" t="n">
        <v>0</v>
      </c>
      <c r="F434" s="35" t="n">
        <v>0</v>
      </c>
      <c r="G434" s="35" t="n">
        <v>0</v>
      </c>
      <c r="H434" s="35" t="n">
        <v>0</v>
      </c>
      <c r="I434" s="35" t="n">
        <v>0</v>
      </c>
      <c r="J434" s="35" t="n">
        <v>0</v>
      </c>
      <c r="K434" s="35" t="n">
        <v>1</v>
      </c>
      <c r="L434" s="35" t="n">
        <v>0</v>
      </c>
      <c r="M434" s="35" t="n">
        <v>0</v>
      </c>
      <c r="N434" s="35" t="n">
        <v>0</v>
      </c>
      <c r="O434" s="35" t="n">
        <v>0</v>
      </c>
      <c r="P434" s="35" t="n">
        <v>0</v>
      </c>
      <c r="Q434" s="35" t="n">
        <v>0</v>
      </c>
      <c r="R434" s="35" t="n">
        <v>1</v>
      </c>
      <c r="S434" s="35" t="n">
        <v>0</v>
      </c>
      <c r="T434" s="35" t="n">
        <v>0</v>
      </c>
      <c r="U434" s="35" t="n">
        <v>0</v>
      </c>
      <c r="V434" s="35" t="n">
        <v>0</v>
      </c>
      <c r="W434" s="35" t="n">
        <v>0</v>
      </c>
      <c r="X434" s="35" t="n">
        <v>0</v>
      </c>
      <c r="Y434" s="35" t="n">
        <v>0</v>
      </c>
      <c r="Z434" s="35" t="n">
        <v>0</v>
      </c>
      <c r="AA434" s="35" t="n">
        <v>0</v>
      </c>
      <c r="AB434" s="35" t="n">
        <v>1</v>
      </c>
      <c r="AC434" s="33" t="s">
        <v>535</v>
      </c>
      <c r="AD434" s="36" t="n">
        <f aca="false">B434-B433</f>
        <v>0.125</v>
      </c>
    </row>
    <row r="435" customFormat="false" ht="15" hidden="false" customHeight="false" outlineLevel="0" collapsed="false">
      <c r="A435" s="30" t="n">
        <v>432</v>
      </c>
      <c r="B435" s="31" t="n">
        <f aca="false">Summary!$B$5+IF(D435=1,0,IF(C435=1,Summary!$B$6,NA()))+(MATCH(1,E435:L435,0)-1)*Summary!$B$7+(MATCH(1,M435:T435,0)-1)*Summary!$B$8+(MATCH(1,U435:AB435,0)-1)*Summary!$B$9</f>
        <v>84</v>
      </c>
      <c r="C435" s="32" t="n">
        <v>0</v>
      </c>
      <c r="D435" s="32" t="n">
        <v>1</v>
      </c>
      <c r="E435" s="32" t="n">
        <v>0</v>
      </c>
      <c r="F435" s="32" t="n">
        <v>0</v>
      </c>
      <c r="G435" s="32" t="n">
        <v>0</v>
      </c>
      <c r="H435" s="32" t="n">
        <v>0</v>
      </c>
      <c r="I435" s="32" t="n">
        <v>0</v>
      </c>
      <c r="J435" s="32" t="n">
        <v>0</v>
      </c>
      <c r="K435" s="32" t="n">
        <v>1</v>
      </c>
      <c r="L435" s="32" t="n">
        <v>0</v>
      </c>
      <c r="M435" s="32" t="n">
        <v>0</v>
      </c>
      <c r="N435" s="32" t="n">
        <v>0</v>
      </c>
      <c r="O435" s="32" t="n">
        <v>0</v>
      </c>
      <c r="P435" s="32" t="n">
        <v>0</v>
      </c>
      <c r="Q435" s="32" t="n">
        <v>0</v>
      </c>
      <c r="R435" s="32" t="n">
        <v>0</v>
      </c>
      <c r="S435" s="32" t="n">
        <v>1</v>
      </c>
      <c r="T435" s="32" t="n">
        <v>0</v>
      </c>
      <c r="U435" s="32" t="n">
        <v>1</v>
      </c>
      <c r="V435" s="32" t="n">
        <v>0</v>
      </c>
      <c r="W435" s="32" t="n">
        <v>0</v>
      </c>
      <c r="X435" s="32" t="n">
        <v>0</v>
      </c>
      <c r="Y435" s="32" t="n">
        <v>0</v>
      </c>
      <c r="Z435" s="32" t="n">
        <v>0</v>
      </c>
      <c r="AA435" s="32" t="n">
        <v>0</v>
      </c>
      <c r="AB435" s="32" t="n">
        <v>0</v>
      </c>
      <c r="AC435" s="30" t="s">
        <v>536</v>
      </c>
      <c r="AD435" s="37" t="n">
        <f aca="false">B435-B434</f>
        <v>0.125</v>
      </c>
    </row>
    <row r="436" customFormat="false" ht="15" hidden="false" customHeight="false" outlineLevel="0" collapsed="false">
      <c r="A436" s="33" t="n">
        <v>433</v>
      </c>
      <c r="B436" s="34" t="n">
        <f aca="false">Summary!$B$5+IF(D436=1,0,IF(C436=1,Summary!$B$6,NA()))+(MATCH(1,E436:L436,0)-1)*Summary!$B$7+(MATCH(1,M436:T436,0)-1)*Summary!$B$8+(MATCH(1,U436:AB436,0)-1)*Summary!$B$9</f>
        <v>84.125</v>
      </c>
      <c r="C436" s="35" t="n">
        <v>0</v>
      </c>
      <c r="D436" s="35" t="n">
        <v>1</v>
      </c>
      <c r="E436" s="35" t="n">
        <v>0</v>
      </c>
      <c r="F436" s="35" t="n">
        <v>0</v>
      </c>
      <c r="G436" s="35" t="n">
        <v>0</v>
      </c>
      <c r="H436" s="35" t="n">
        <v>0</v>
      </c>
      <c r="I436" s="35" t="n">
        <v>0</v>
      </c>
      <c r="J436" s="35" t="n">
        <v>0</v>
      </c>
      <c r="K436" s="35" t="n">
        <v>1</v>
      </c>
      <c r="L436" s="35" t="n">
        <v>0</v>
      </c>
      <c r="M436" s="35" t="n">
        <v>0</v>
      </c>
      <c r="N436" s="35" t="n">
        <v>0</v>
      </c>
      <c r="O436" s="35" t="n">
        <v>0</v>
      </c>
      <c r="P436" s="35" t="n">
        <v>0</v>
      </c>
      <c r="Q436" s="35" t="n">
        <v>0</v>
      </c>
      <c r="R436" s="35" t="n">
        <v>0</v>
      </c>
      <c r="S436" s="35" t="n">
        <v>1</v>
      </c>
      <c r="T436" s="35" t="n">
        <v>0</v>
      </c>
      <c r="U436" s="35" t="n">
        <v>0</v>
      </c>
      <c r="V436" s="35" t="n">
        <v>1</v>
      </c>
      <c r="W436" s="35" t="n">
        <v>0</v>
      </c>
      <c r="X436" s="35" t="n">
        <v>0</v>
      </c>
      <c r="Y436" s="35" t="n">
        <v>0</v>
      </c>
      <c r="Z436" s="35" t="n">
        <v>0</v>
      </c>
      <c r="AA436" s="35" t="n">
        <v>0</v>
      </c>
      <c r="AB436" s="35" t="n">
        <v>0</v>
      </c>
      <c r="AC436" s="33" t="s">
        <v>537</v>
      </c>
      <c r="AD436" s="36" t="n">
        <f aca="false">B436-B435</f>
        <v>0.125</v>
      </c>
    </row>
    <row r="437" customFormat="false" ht="15" hidden="false" customHeight="false" outlineLevel="0" collapsed="false">
      <c r="A437" s="30" t="n">
        <v>434</v>
      </c>
      <c r="B437" s="31" t="n">
        <f aca="false">Summary!$B$5+IF(D437=1,0,IF(C437=1,Summary!$B$6,NA()))+(MATCH(1,E437:L437,0)-1)*Summary!$B$7+(MATCH(1,M437:T437,0)-1)*Summary!$B$8+(MATCH(1,U437:AB437,0)-1)*Summary!$B$9</f>
        <v>84.25</v>
      </c>
      <c r="C437" s="32" t="n">
        <v>0</v>
      </c>
      <c r="D437" s="32" t="n">
        <v>1</v>
      </c>
      <c r="E437" s="32" t="n">
        <v>0</v>
      </c>
      <c r="F437" s="32" t="n">
        <v>0</v>
      </c>
      <c r="G437" s="32" t="n">
        <v>0</v>
      </c>
      <c r="H437" s="32" t="n">
        <v>0</v>
      </c>
      <c r="I437" s="32" t="n">
        <v>0</v>
      </c>
      <c r="J437" s="32" t="n">
        <v>0</v>
      </c>
      <c r="K437" s="32" t="n">
        <v>1</v>
      </c>
      <c r="L437" s="32" t="n">
        <v>0</v>
      </c>
      <c r="M437" s="32" t="n">
        <v>0</v>
      </c>
      <c r="N437" s="32" t="n">
        <v>0</v>
      </c>
      <c r="O437" s="32" t="n">
        <v>0</v>
      </c>
      <c r="P437" s="32" t="n">
        <v>0</v>
      </c>
      <c r="Q437" s="32" t="n">
        <v>0</v>
      </c>
      <c r="R437" s="32" t="n">
        <v>0</v>
      </c>
      <c r="S437" s="32" t="n">
        <v>1</v>
      </c>
      <c r="T437" s="32" t="n">
        <v>0</v>
      </c>
      <c r="U437" s="32" t="n">
        <v>0</v>
      </c>
      <c r="V437" s="32" t="n">
        <v>0</v>
      </c>
      <c r="W437" s="32" t="n">
        <v>1</v>
      </c>
      <c r="X437" s="32" t="n">
        <v>0</v>
      </c>
      <c r="Y437" s="32" t="n">
        <v>0</v>
      </c>
      <c r="Z437" s="32" t="n">
        <v>0</v>
      </c>
      <c r="AA437" s="32" t="n">
        <v>0</v>
      </c>
      <c r="AB437" s="32" t="n">
        <v>0</v>
      </c>
      <c r="AC437" s="30" t="s">
        <v>538</v>
      </c>
      <c r="AD437" s="37" t="n">
        <f aca="false">B437-B436</f>
        <v>0.125</v>
      </c>
    </row>
    <row r="438" customFormat="false" ht="15" hidden="false" customHeight="false" outlineLevel="0" collapsed="false">
      <c r="A438" s="33" t="n">
        <v>435</v>
      </c>
      <c r="B438" s="34" t="n">
        <f aca="false">Summary!$B$5+IF(D438=1,0,IF(C438=1,Summary!$B$6,NA()))+(MATCH(1,E438:L438,0)-1)*Summary!$B$7+(MATCH(1,M438:T438,0)-1)*Summary!$B$8+(MATCH(1,U438:AB438,0)-1)*Summary!$B$9</f>
        <v>84.375</v>
      </c>
      <c r="C438" s="35" t="n">
        <v>0</v>
      </c>
      <c r="D438" s="35" t="n">
        <v>1</v>
      </c>
      <c r="E438" s="35" t="n">
        <v>0</v>
      </c>
      <c r="F438" s="35" t="n">
        <v>0</v>
      </c>
      <c r="G438" s="35" t="n">
        <v>0</v>
      </c>
      <c r="H438" s="35" t="n">
        <v>0</v>
      </c>
      <c r="I438" s="35" t="n">
        <v>0</v>
      </c>
      <c r="J438" s="35" t="n">
        <v>0</v>
      </c>
      <c r="K438" s="35" t="n">
        <v>1</v>
      </c>
      <c r="L438" s="35" t="n">
        <v>0</v>
      </c>
      <c r="M438" s="35" t="n">
        <v>0</v>
      </c>
      <c r="N438" s="35" t="n">
        <v>0</v>
      </c>
      <c r="O438" s="35" t="n">
        <v>0</v>
      </c>
      <c r="P438" s="35" t="n">
        <v>0</v>
      </c>
      <c r="Q438" s="35" t="n">
        <v>0</v>
      </c>
      <c r="R438" s="35" t="n">
        <v>0</v>
      </c>
      <c r="S438" s="35" t="n">
        <v>1</v>
      </c>
      <c r="T438" s="35" t="n">
        <v>0</v>
      </c>
      <c r="U438" s="35" t="n">
        <v>0</v>
      </c>
      <c r="V438" s="35" t="n">
        <v>0</v>
      </c>
      <c r="W438" s="35" t="n">
        <v>0</v>
      </c>
      <c r="X438" s="35" t="n">
        <v>1</v>
      </c>
      <c r="Y438" s="35" t="n">
        <v>0</v>
      </c>
      <c r="Z438" s="35" t="n">
        <v>0</v>
      </c>
      <c r="AA438" s="35" t="n">
        <v>0</v>
      </c>
      <c r="AB438" s="35" t="n">
        <v>0</v>
      </c>
      <c r="AC438" s="33" t="s">
        <v>539</v>
      </c>
      <c r="AD438" s="36" t="n">
        <f aca="false">B438-B437</f>
        <v>0.125</v>
      </c>
    </row>
    <row r="439" customFormat="false" ht="15" hidden="false" customHeight="false" outlineLevel="0" collapsed="false">
      <c r="A439" s="30" t="n">
        <v>436</v>
      </c>
      <c r="B439" s="31" t="n">
        <f aca="false">Summary!$B$5+IF(D439=1,0,IF(C439=1,Summary!$B$6,NA()))+(MATCH(1,E439:L439,0)-1)*Summary!$B$7+(MATCH(1,M439:T439,0)-1)*Summary!$B$8+(MATCH(1,U439:AB439,0)-1)*Summary!$B$9</f>
        <v>84.5</v>
      </c>
      <c r="C439" s="32" t="n">
        <v>0</v>
      </c>
      <c r="D439" s="32" t="n">
        <v>1</v>
      </c>
      <c r="E439" s="32" t="n">
        <v>0</v>
      </c>
      <c r="F439" s="32" t="n">
        <v>0</v>
      </c>
      <c r="G439" s="32" t="n">
        <v>0</v>
      </c>
      <c r="H439" s="32" t="n">
        <v>0</v>
      </c>
      <c r="I439" s="32" t="n">
        <v>0</v>
      </c>
      <c r="J439" s="32" t="n">
        <v>0</v>
      </c>
      <c r="K439" s="32" t="n">
        <v>1</v>
      </c>
      <c r="L439" s="32" t="n">
        <v>0</v>
      </c>
      <c r="M439" s="32" t="n">
        <v>0</v>
      </c>
      <c r="N439" s="32" t="n">
        <v>0</v>
      </c>
      <c r="O439" s="32" t="n">
        <v>0</v>
      </c>
      <c r="P439" s="32" t="n">
        <v>0</v>
      </c>
      <c r="Q439" s="32" t="n">
        <v>0</v>
      </c>
      <c r="R439" s="32" t="n">
        <v>0</v>
      </c>
      <c r="S439" s="32" t="n">
        <v>1</v>
      </c>
      <c r="T439" s="32" t="n">
        <v>0</v>
      </c>
      <c r="U439" s="32" t="n">
        <v>0</v>
      </c>
      <c r="V439" s="32" t="n">
        <v>0</v>
      </c>
      <c r="W439" s="32" t="n">
        <v>0</v>
      </c>
      <c r="X439" s="32" t="n">
        <v>0</v>
      </c>
      <c r="Y439" s="32" t="n">
        <v>1</v>
      </c>
      <c r="Z439" s="32" t="n">
        <v>0</v>
      </c>
      <c r="AA439" s="32" t="n">
        <v>0</v>
      </c>
      <c r="AB439" s="32" t="n">
        <v>0</v>
      </c>
      <c r="AC439" s="30" t="s">
        <v>540</v>
      </c>
      <c r="AD439" s="37" t="n">
        <f aca="false">B439-B438</f>
        <v>0.125</v>
      </c>
    </row>
    <row r="440" customFormat="false" ht="15" hidden="false" customHeight="false" outlineLevel="0" collapsed="false">
      <c r="A440" s="33" t="n">
        <v>437</v>
      </c>
      <c r="B440" s="34" t="n">
        <f aca="false">Summary!$B$5+IF(D440=1,0,IF(C440=1,Summary!$B$6,NA()))+(MATCH(1,E440:L440,0)-1)*Summary!$B$7+(MATCH(1,M440:T440,0)-1)*Summary!$B$8+(MATCH(1,U440:AB440,0)-1)*Summary!$B$9</f>
        <v>84.625</v>
      </c>
      <c r="C440" s="35" t="n">
        <v>0</v>
      </c>
      <c r="D440" s="35" t="n">
        <v>1</v>
      </c>
      <c r="E440" s="35" t="n">
        <v>0</v>
      </c>
      <c r="F440" s="35" t="n">
        <v>0</v>
      </c>
      <c r="G440" s="35" t="n">
        <v>0</v>
      </c>
      <c r="H440" s="35" t="n">
        <v>0</v>
      </c>
      <c r="I440" s="35" t="n">
        <v>0</v>
      </c>
      <c r="J440" s="35" t="n">
        <v>0</v>
      </c>
      <c r="K440" s="35" t="n">
        <v>1</v>
      </c>
      <c r="L440" s="35" t="n">
        <v>0</v>
      </c>
      <c r="M440" s="35" t="n">
        <v>0</v>
      </c>
      <c r="N440" s="35" t="n">
        <v>0</v>
      </c>
      <c r="O440" s="35" t="n">
        <v>0</v>
      </c>
      <c r="P440" s="35" t="n">
        <v>0</v>
      </c>
      <c r="Q440" s="35" t="n">
        <v>0</v>
      </c>
      <c r="R440" s="35" t="n">
        <v>0</v>
      </c>
      <c r="S440" s="35" t="n">
        <v>1</v>
      </c>
      <c r="T440" s="35" t="n">
        <v>0</v>
      </c>
      <c r="U440" s="35" t="n">
        <v>0</v>
      </c>
      <c r="V440" s="35" t="n">
        <v>0</v>
      </c>
      <c r="W440" s="35" t="n">
        <v>0</v>
      </c>
      <c r="X440" s="35" t="n">
        <v>0</v>
      </c>
      <c r="Y440" s="35" t="n">
        <v>0</v>
      </c>
      <c r="Z440" s="35" t="n">
        <v>1</v>
      </c>
      <c r="AA440" s="35" t="n">
        <v>0</v>
      </c>
      <c r="AB440" s="35" t="n">
        <v>0</v>
      </c>
      <c r="AC440" s="33" t="s">
        <v>541</v>
      </c>
      <c r="AD440" s="36" t="n">
        <f aca="false">B440-B439</f>
        <v>0.125</v>
      </c>
    </row>
    <row r="441" customFormat="false" ht="15" hidden="false" customHeight="false" outlineLevel="0" collapsed="false">
      <c r="A441" s="30" t="n">
        <v>438</v>
      </c>
      <c r="B441" s="31" t="n">
        <f aca="false">Summary!$B$5+IF(D441=1,0,IF(C441=1,Summary!$B$6,NA()))+(MATCH(1,E441:L441,0)-1)*Summary!$B$7+(MATCH(1,M441:T441,0)-1)*Summary!$B$8+(MATCH(1,U441:AB441,0)-1)*Summary!$B$9</f>
        <v>84.75</v>
      </c>
      <c r="C441" s="32" t="n">
        <v>0</v>
      </c>
      <c r="D441" s="32" t="n">
        <v>1</v>
      </c>
      <c r="E441" s="32" t="n">
        <v>0</v>
      </c>
      <c r="F441" s="32" t="n">
        <v>0</v>
      </c>
      <c r="G441" s="32" t="n">
        <v>0</v>
      </c>
      <c r="H441" s="32" t="n">
        <v>0</v>
      </c>
      <c r="I441" s="32" t="n">
        <v>0</v>
      </c>
      <c r="J441" s="32" t="n">
        <v>0</v>
      </c>
      <c r="K441" s="32" t="n">
        <v>1</v>
      </c>
      <c r="L441" s="32" t="n">
        <v>0</v>
      </c>
      <c r="M441" s="32" t="n">
        <v>0</v>
      </c>
      <c r="N441" s="32" t="n">
        <v>0</v>
      </c>
      <c r="O441" s="32" t="n">
        <v>0</v>
      </c>
      <c r="P441" s="32" t="n">
        <v>0</v>
      </c>
      <c r="Q441" s="32" t="n">
        <v>0</v>
      </c>
      <c r="R441" s="32" t="n">
        <v>0</v>
      </c>
      <c r="S441" s="32" t="n">
        <v>1</v>
      </c>
      <c r="T441" s="32" t="n">
        <v>0</v>
      </c>
      <c r="U441" s="32" t="n">
        <v>0</v>
      </c>
      <c r="V441" s="32" t="n">
        <v>0</v>
      </c>
      <c r="W441" s="32" t="n">
        <v>0</v>
      </c>
      <c r="X441" s="32" t="n">
        <v>0</v>
      </c>
      <c r="Y441" s="32" t="n">
        <v>0</v>
      </c>
      <c r="Z441" s="32" t="n">
        <v>0</v>
      </c>
      <c r="AA441" s="32" t="n">
        <v>1</v>
      </c>
      <c r="AB441" s="32" t="n">
        <v>0</v>
      </c>
      <c r="AC441" s="30" t="s">
        <v>542</v>
      </c>
      <c r="AD441" s="37" t="n">
        <f aca="false">B441-B440</f>
        <v>0.125</v>
      </c>
    </row>
    <row r="442" customFormat="false" ht="15" hidden="false" customHeight="false" outlineLevel="0" collapsed="false">
      <c r="A442" s="33" t="n">
        <v>439</v>
      </c>
      <c r="B442" s="34" t="n">
        <f aca="false">Summary!$B$5+IF(D442=1,0,IF(C442=1,Summary!$B$6,NA()))+(MATCH(1,E442:L442,0)-1)*Summary!$B$7+(MATCH(1,M442:T442,0)-1)*Summary!$B$8+(MATCH(1,U442:AB442,0)-1)*Summary!$B$9</f>
        <v>84.875</v>
      </c>
      <c r="C442" s="35" t="n">
        <v>0</v>
      </c>
      <c r="D442" s="35" t="n">
        <v>1</v>
      </c>
      <c r="E442" s="35" t="n">
        <v>0</v>
      </c>
      <c r="F442" s="35" t="n">
        <v>0</v>
      </c>
      <c r="G442" s="35" t="n">
        <v>0</v>
      </c>
      <c r="H442" s="35" t="n">
        <v>0</v>
      </c>
      <c r="I442" s="35" t="n">
        <v>0</v>
      </c>
      <c r="J442" s="35" t="n">
        <v>0</v>
      </c>
      <c r="K442" s="35" t="n">
        <v>1</v>
      </c>
      <c r="L442" s="35" t="n">
        <v>0</v>
      </c>
      <c r="M442" s="35" t="n">
        <v>0</v>
      </c>
      <c r="N442" s="35" t="n">
        <v>0</v>
      </c>
      <c r="O442" s="35" t="n">
        <v>0</v>
      </c>
      <c r="P442" s="35" t="n">
        <v>0</v>
      </c>
      <c r="Q442" s="35" t="n">
        <v>0</v>
      </c>
      <c r="R442" s="35" t="n">
        <v>0</v>
      </c>
      <c r="S442" s="35" t="n">
        <v>1</v>
      </c>
      <c r="T442" s="35" t="n">
        <v>0</v>
      </c>
      <c r="U442" s="35" t="n">
        <v>0</v>
      </c>
      <c r="V442" s="35" t="n">
        <v>0</v>
      </c>
      <c r="W442" s="35" t="n">
        <v>0</v>
      </c>
      <c r="X442" s="35" t="n">
        <v>0</v>
      </c>
      <c r="Y442" s="35" t="n">
        <v>0</v>
      </c>
      <c r="Z442" s="35" t="n">
        <v>0</v>
      </c>
      <c r="AA442" s="35" t="n">
        <v>0</v>
      </c>
      <c r="AB442" s="35" t="n">
        <v>1</v>
      </c>
      <c r="AC442" s="33" t="s">
        <v>543</v>
      </c>
      <c r="AD442" s="36" t="n">
        <f aca="false">B442-B441</f>
        <v>0.125</v>
      </c>
    </row>
    <row r="443" customFormat="false" ht="15" hidden="false" customHeight="false" outlineLevel="0" collapsed="false">
      <c r="A443" s="30" t="n">
        <v>440</v>
      </c>
      <c r="B443" s="31" t="n">
        <f aca="false">Summary!$B$5+IF(D443=1,0,IF(C443=1,Summary!$B$6,NA()))+(MATCH(1,E443:L443,0)-1)*Summary!$B$7+(MATCH(1,M443:T443,0)-1)*Summary!$B$8+(MATCH(1,U443:AB443,0)-1)*Summary!$B$9</f>
        <v>85</v>
      </c>
      <c r="C443" s="32" t="n">
        <v>0</v>
      </c>
      <c r="D443" s="32" t="n">
        <v>1</v>
      </c>
      <c r="E443" s="32" t="n">
        <v>0</v>
      </c>
      <c r="F443" s="32" t="n">
        <v>0</v>
      </c>
      <c r="G443" s="32" t="n">
        <v>0</v>
      </c>
      <c r="H443" s="32" t="n">
        <v>0</v>
      </c>
      <c r="I443" s="32" t="n">
        <v>0</v>
      </c>
      <c r="J443" s="32" t="n">
        <v>0</v>
      </c>
      <c r="K443" s="32" t="n">
        <v>1</v>
      </c>
      <c r="L443" s="32" t="n">
        <v>0</v>
      </c>
      <c r="M443" s="32" t="n">
        <v>0</v>
      </c>
      <c r="N443" s="32" t="n">
        <v>0</v>
      </c>
      <c r="O443" s="32" t="n">
        <v>0</v>
      </c>
      <c r="P443" s="32" t="n">
        <v>0</v>
      </c>
      <c r="Q443" s="32" t="n">
        <v>0</v>
      </c>
      <c r="R443" s="32" t="n">
        <v>0</v>
      </c>
      <c r="S443" s="32" t="n">
        <v>0</v>
      </c>
      <c r="T443" s="32" t="n">
        <v>1</v>
      </c>
      <c r="U443" s="32" t="n">
        <v>1</v>
      </c>
      <c r="V443" s="32" t="n">
        <v>0</v>
      </c>
      <c r="W443" s="32" t="n">
        <v>0</v>
      </c>
      <c r="X443" s="32" t="n">
        <v>0</v>
      </c>
      <c r="Y443" s="32" t="n">
        <v>0</v>
      </c>
      <c r="Z443" s="32" t="n">
        <v>0</v>
      </c>
      <c r="AA443" s="32" t="n">
        <v>0</v>
      </c>
      <c r="AB443" s="32" t="n">
        <v>0</v>
      </c>
      <c r="AC443" s="30" t="s">
        <v>544</v>
      </c>
      <c r="AD443" s="37" t="n">
        <f aca="false">B443-B442</f>
        <v>0.125</v>
      </c>
    </row>
    <row r="444" customFormat="false" ht="15" hidden="false" customHeight="false" outlineLevel="0" collapsed="false">
      <c r="A444" s="33" t="n">
        <v>441</v>
      </c>
      <c r="B444" s="34" t="n">
        <f aca="false">Summary!$B$5+IF(D444=1,0,IF(C444=1,Summary!$B$6,NA()))+(MATCH(1,E444:L444,0)-1)*Summary!$B$7+(MATCH(1,M444:T444,0)-1)*Summary!$B$8+(MATCH(1,U444:AB444,0)-1)*Summary!$B$9</f>
        <v>85.125</v>
      </c>
      <c r="C444" s="35" t="n">
        <v>0</v>
      </c>
      <c r="D444" s="35" t="n">
        <v>1</v>
      </c>
      <c r="E444" s="35" t="n">
        <v>0</v>
      </c>
      <c r="F444" s="35" t="n">
        <v>0</v>
      </c>
      <c r="G444" s="35" t="n">
        <v>0</v>
      </c>
      <c r="H444" s="35" t="n">
        <v>0</v>
      </c>
      <c r="I444" s="35" t="n">
        <v>0</v>
      </c>
      <c r="J444" s="35" t="n">
        <v>0</v>
      </c>
      <c r="K444" s="35" t="n">
        <v>1</v>
      </c>
      <c r="L444" s="35" t="n">
        <v>0</v>
      </c>
      <c r="M444" s="35" t="n">
        <v>0</v>
      </c>
      <c r="N444" s="35" t="n">
        <v>0</v>
      </c>
      <c r="O444" s="35" t="n">
        <v>0</v>
      </c>
      <c r="P444" s="35" t="n">
        <v>0</v>
      </c>
      <c r="Q444" s="35" t="n">
        <v>0</v>
      </c>
      <c r="R444" s="35" t="n">
        <v>0</v>
      </c>
      <c r="S444" s="35" t="n">
        <v>0</v>
      </c>
      <c r="T444" s="35" t="n">
        <v>1</v>
      </c>
      <c r="U444" s="35" t="n">
        <v>0</v>
      </c>
      <c r="V444" s="35" t="n">
        <v>1</v>
      </c>
      <c r="W444" s="35" t="n">
        <v>0</v>
      </c>
      <c r="X444" s="35" t="n">
        <v>0</v>
      </c>
      <c r="Y444" s="35" t="n">
        <v>0</v>
      </c>
      <c r="Z444" s="35" t="n">
        <v>0</v>
      </c>
      <c r="AA444" s="35" t="n">
        <v>0</v>
      </c>
      <c r="AB444" s="35" t="n">
        <v>0</v>
      </c>
      <c r="AC444" s="33" t="s">
        <v>545</v>
      </c>
      <c r="AD444" s="36" t="n">
        <f aca="false">B444-B443</f>
        <v>0.125</v>
      </c>
    </row>
    <row r="445" customFormat="false" ht="15" hidden="false" customHeight="false" outlineLevel="0" collapsed="false">
      <c r="A445" s="30" t="n">
        <v>442</v>
      </c>
      <c r="B445" s="31" t="n">
        <f aca="false">Summary!$B$5+IF(D445=1,0,IF(C445=1,Summary!$B$6,NA()))+(MATCH(1,E445:L445,0)-1)*Summary!$B$7+(MATCH(1,M445:T445,0)-1)*Summary!$B$8+(MATCH(1,U445:AB445,0)-1)*Summary!$B$9</f>
        <v>85.25</v>
      </c>
      <c r="C445" s="32" t="n">
        <v>0</v>
      </c>
      <c r="D445" s="32" t="n">
        <v>1</v>
      </c>
      <c r="E445" s="32" t="n">
        <v>0</v>
      </c>
      <c r="F445" s="32" t="n">
        <v>0</v>
      </c>
      <c r="G445" s="32" t="n">
        <v>0</v>
      </c>
      <c r="H445" s="32" t="n">
        <v>0</v>
      </c>
      <c r="I445" s="32" t="n">
        <v>0</v>
      </c>
      <c r="J445" s="32" t="n">
        <v>0</v>
      </c>
      <c r="K445" s="32" t="n">
        <v>1</v>
      </c>
      <c r="L445" s="32" t="n">
        <v>0</v>
      </c>
      <c r="M445" s="32" t="n">
        <v>0</v>
      </c>
      <c r="N445" s="32" t="n">
        <v>0</v>
      </c>
      <c r="O445" s="32" t="n">
        <v>0</v>
      </c>
      <c r="P445" s="32" t="n">
        <v>0</v>
      </c>
      <c r="Q445" s="32" t="n">
        <v>0</v>
      </c>
      <c r="R445" s="32" t="n">
        <v>0</v>
      </c>
      <c r="S445" s="32" t="n">
        <v>0</v>
      </c>
      <c r="T445" s="32" t="n">
        <v>1</v>
      </c>
      <c r="U445" s="32" t="n">
        <v>0</v>
      </c>
      <c r="V445" s="32" t="n">
        <v>0</v>
      </c>
      <c r="W445" s="32" t="n">
        <v>1</v>
      </c>
      <c r="X445" s="32" t="n">
        <v>0</v>
      </c>
      <c r="Y445" s="32" t="n">
        <v>0</v>
      </c>
      <c r="Z445" s="32" t="n">
        <v>0</v>
      </c>
      <c r="AA445" s="32" t="n">
        <v>0</v>
      </c>
      <c r="AB445" s="32" t="n">
        <v>0</v>
      </c>
      <c r="AC445" s="30" t="s">
        <v>546</v>
      </c>
      <c r="AD445" s="37" t="n">
        <f aca="false">B445-B444</f>
        <v>0.125</v>
      </c>
    </row>
    <row r="446" customFormat="false" ht="15" hidden="false" customHeight="false" outlineLevel="0" collapsed="false">
      <c r="A446" s="33" t="n">
        <v>443</v>
      </c>
      <c r="B446" s="34" t="n">
        <f aca="false">Summary!$B$5+IF(D446=1,0,IF(C446=1,Summary!$B$6,NA()))+(MATCH(1,E446:L446,0)-1)*Summary!$B$7+(MATCH(1,M446:T446,0)-1)*Summary!$B$8+(MATCH(1,U446:AB446,0)-1)*Summary!$B$9</f>
        <v>85.375</v>
      </c>
      <c r="C446" s="35" t="n">
        <v>0</v>
      </c>
      <c r="D446" s="35" t="n">
        <v>1</v>
      </c>
      <c r="E446" s="35" t="n">
        <v>0</v>
      </c>
      <c r="F446" s="35" t="n">
        <v>0</v>
      </c>
      <c r="G446" s="35" t="n">
        <v>0</v>
      </c>
      <c r="H446" s="35" t="n">
        <v>0</v>
      </c>
      <c r="I446" s="35" t="n">
        <v>0</v>
      </c>
      <c r="J446" s="35" t="n">
        <v>0</v>
      </c>
      <c r="K446" s="35" t="n">
        <v>1</v>
      </c>
      <c r="L446" s="35" t="n">
        <v>0</v>
      </c>
      <c r="M446" s="35" t="n">
        <v>0</v>
      </c>
      <c r="N446" s="35" t="n">
        <v>0</v>
      </c>
      <c r="O446" s="35" t="n">
        <v>0</v>
      </c>
      <c r="P446" s="35" t="n">
        <v>0</v>
      </c>
      <c r="Q446" s="35" t="n">
        <v>0</v>
      </c>
      <c r="R446" s="35" t="n">
        <v>0</v>
      </c>
      <c r="S446" s="35" t="n">
        <v>0</v>
      </c>
      <c r="T446" s="35" t="n">
        <v>1</v>
      </c>
      <c r="U446" s="35" t="n">
        <v>0</v>
      </c>
      <c r="V446" s="35" t="n">
        <v>0</v>
      </c>
      <c r="W446" s="35" t="n">
        <v>0</v>
      </c>
      <c r="X446" s="35" t="n">
        <v>1</v>
      </c>
      <c r="Y446" s="35" t="n">
        <v>0</v>
      </c>
      <c r="Z446" s="35" t="n">
        <v>0</v>
      </c>
      <c r="AA446" s="35" t="n">
        <v>0</v>
      </c>
      <c r="AB446" s="35" t="n">
        <v>0</v>
      </c>
      <c r="AC446" s="33" t="s">
        <v>547</v>
      </c>
      <c r="AD446" s="36" t="n">
        <f aca="false">B446-B445</f>
        <v>0.125</v>
      </c>
    </row>
    <row r="447" customFormat="false" ht="15" hidden="false" customHeight="false" outlineLevel="0" collapsed="false">
      <c r="A447" s="30" t="n">
        <v>444</v>
      </c>
      <c r="B447" s="31" t="n">
        <f aca="false">Summary!$B$5+IF(D447=1,0,IF(C447=1,Summary!$B$6,NA()))+(MATCH(1,E447:L447,0)-1)*Summary!$B$7+(MATCH(1,M447:T447,0)-1)*Summary!$B$8+(MATCH(1,U447:AB447,0)-1)*Summary!$B$9</f>
        <v>85.5</v>
      </c>
      <c r="C447" s="32" t="n">
        <v>0</v>
      </c>
      <c r="D447" s="32" t="n">
        <v>1</v>
      </c>
      <c r="E447" s="32" t="n">
        <v>0</v>
      </c>
      <c r="F447" s="32" t="n">
        <v>0</v>
      </c>
      <c r="G447" s="32" t="n">
        <v>0</v>
      </c>
      <c r="H447" s="32" t="n">
        <v>0</v>
      </c>
      <c r="I447" s="32" t="n">
        <v>0</v>
      </c>
      <c r="J447" s="32" t="n">
        <v>0</v>
      </c>
      <c r="K447" s="32" t="n">
        <v>1</v>
      </c>
      <c r="L447" s="32" t="n">
        <v>0</v>
      </c>
      <c r="M447" s="32" t="n">
        <v>0</v>
      </c>
      <c r="N447" s="32" t="n">
        <v>0</v>
      </c>
      <c r="O447" s="32" t="n">
        <v>0</v>
      </c>
      <c r="P447" s="32" t="n">
        <v>0</v>
      </c>
      <c r="Q447" s="32" t="n">
        <v>0</v>
      </c>
      <c r="R447" s="32" t="n">
        <v>0</v>
      </c>
      <c r="S447" s="32" t="n">
        <v>0</v>
      </c>
      <c r="T447" s="32" t="n">
        <v>1</v>
      </c>
      <c r="U447" s="32" t="n">
        <v>0</v>
      </c>
      <c r="V447" s="32" t="n">
        <v>0</v>
      </c>
      <c r="W447" s="32" t="n">
        <v>0</v>
      </c>
      <c r="X447" s="32" t="n">
        <v>0</v>
      </c>
      <c r="Y447" s="32" t="n">
        <v>1</v>
      </c>
      <c r="Z447" s="32" t="n">
        <v>0</v>
      </c>
      <c r="AA447" s="32" t="n">
        <v>0</v>
      </c>
      <c r="AB447" s="32" t="n">
        <v>0</v>
      </c>
      <c r="AC447" s="30" t="s">
        <v>548</v>
      </c>
      <c r="AD447" s="37" t="n">
        <f aca="false">B447-B446</f>
        <v>0.125</v>
      </c>
    </row>
    <row r="448" customFormat="false" ht="15" hidden="false" customHeight="false" outlineLevel="0" collapsed="false">
      <c r="A448" s="33" t="n">
        <v>445</v>
      </c>
      <c r="B448" s="34" t="n">
        <f aca="false">Summary!$B$5+IF(D448=1,0,IF(C448=1,Summary!$B$6,NA()))+(MATCH(1,E448:L448,0)-1)*Summary!$B$7+(MATCH(1,M448:T448,0)-1)*Summary!$B$8+(MATCH(1,U448:AB448,0)-1)*Summary!$B$9</f>
        <v>85.625</v>
      </c>
      <c r="C448" s="35" t="n">
        <v>0</v>
      </c>
      <c r="D448" s="35" t="n">
        <v>1</v>
      </c>
      <c r="E448" s="35" t="n">
        <v>0</v>
      </c>
      <c r="F448" s="35" t="n">
        <v>0</v>
      </c>
      <c r="G448" s="35" t="n">
        <v>0</v>
      </c>
      <c r="H448" s="35" t="n">
        <v>0</v>
      </c>
      <c r="I448" s="35" t="n">
        <v>0</v>
      </c>
      <c r="J448" s="35" t="n">
        <v>0</v>
      </c>
      <c r="K448" s="35" t="n">
        <v>1</v>
      </c>
      <c r="L448" s="35" t="n">
        <v>0</v>
      </c>
      <c r="M448" s="35" t="n">
        <v>0</v>
      </c>
      <c r="N448" s="35" t="n">
        <v>0</v>
      </c>
      <c r="O448" s="35" t="n">
        <v>0</v>
      </c>
      <c r="P448" s="35" t="n">
        <v>0</v>
      </c>
      <c r="Q448" s="35" t="n">
        <v>0</v>
      </c>
      <c r="R448" s="35" t="n">
        <v>0</v>
      </c>
      <c r="S448" s="35" t="n">
        <v>0</v>
      </c>
      <c r="T448" s="35" t="n">
        <v>1</v>
      </c>
      <c r="U448" s="35" t="n">
        <v>0</v>
      </c>
      <c r="V448" s="35" t="n">
        <v>0</v>
      </c>
      <c r="W448" s="35" t="n">
        <v>0</v>
      </c>
      <c r="X448" s="35" t="n">
        <v>0</v>
      </c>
      <c r="Y448" s="35" t="n">
        <v>0</v>
      </c>
      <c r="Z448" s="35" t="n">
        <v>1</v>
      </c>
      <c r="AA448" s="35" t="n">
        <v>0</v>
      </c>
      <c r="AB448" s="35" t="n">
        <v>0</v>
      </c>
      <c r="AC448" s="33" t="s">
        <v>549</v>
      </c>
      <c r="AD448" s="36" t="n">
        <f aca="false">B448-B447</f>
        <v>0.125</v>
      </c>
    </row>
    <row r="449" customFormat="false" ht="15" hidden="false" customHeight="false" outlineLevel="0" collapsed="false">
      <c r="A449" s="30" t="n">
        <v>446</v>
      </c>
      <c r="B449" s="31" t="n">
        <f aca="false">Summary!$B$5+IF(D449=1,0,IF(C449=1,Summary!$B$6,NA()))+(MATCH(1,E449:L449,0)-1)*Summary!$B$7+(MATCH(1,M449:T449,0)-1)*Summary!$B$8+(MATCH(1,U449:AB449,0)-1)*Summary!$B$9</f>
        <v>85.75</v>
      </c>
      <c r="C449" s="32" t="n">
        <v>0</v>
      </c>
      <c r="D449" s="32" t="n">
        <v>1</v>
      </c>
      <c r="E449" s="32" t="n">
        <v>0</v>
      </c>
      <c r="F449" s="32" t="n">
        <v>0</v>
      </c>
      <c r="G449" s="32" t="n">
        <v>0</v>
      </c>
      <c r="H449" s="32" t="n">
        <v>0</v>
      </c>
      <c r="I449" s="32" t="n">
        <v>0</v>
      </c>
      <c r="J449" s="32" t="n">
        <v>0</v>
      </c>
      <c r="K449" s="32" t="n">
        <v>1</v>
      </c>
      <c r="L449" s="32" t="n">
        <v>0</v>
      </c>
      <c r="M449" s="32" t="n">
        <v>0</v>
      </c>
      <c r="N449" s="32" t="n">
        <v>0</v>
      </c>
      <c r="O449" s="32" t="n">
        <v>0</v>
      </c>
      <c r="P449" s="32" t="n">
        <v>0</v>
      </c>
      <c r="Q449" s="32" t="n">
        <v>0</v>
      </c>
      <c r="R449" s="32" t="n">
        <v>0</v>
      </c>
      <c r="S449" s="32" t="n">
        <v>0</v>
      </c>
      <c r="T449" s="32" t="n">
        <v>1</v>
      </c>
      <c r="U449" s="32" t="n">
        <v>0</v>
      </c>
      <c r="V449" s="32" t="n">
        <v>0</v>
      </c>
      <c r="W449" s="32" t="n">
        <v>0</v>
      </c>
      <c r="X449" s="32" t="n">
        <v>0</v>
      </c>
      <c r="Y449" s="32" t="n">
        <v>0</v>
      </c>
      <c r="Z449" s="32" t="n">
        <v>0</v>
      </c>
      <c r="AA449" s="32" t="n">
        <v>1</v>
      </c>
      <c r="AB449" s="32" t="n">
        <v>0</v>
      </c>
      <c r="AC449" s="30" t="s">
        <v>550</v>
      </c>
      <c r="AD449" s="37" t="n">
        <f aca="false">B449-B448</f>
        <v>0.125</v>
      </c>
    </row>
    <row r="450" customFormat="false" ht="15" hidden="false" customHeight="false" outlineLevel="0" collapsed="false">
      <c r="A450" s="33" t="n">
        <v>447</v>
      </c>
      <c r="B450" s="34" t="n">
        <f aca="false">Summary!$B$5+IF(D450=1,0,IF(C450=1,Summary!$B$6,NA()))+(MATCH(1,E450:L450,0)-1)*Summary!$B$7+(MATCH(1,M450:T450,0)-1)*Summary!$B$8+(MATCH(1,U450:AB450,0)-1)*Summary!$B$9</f>
        <v>85.875</v>
      </c>
      <c r="C450" s="35" t="n">
        <v>0</v>
      </c>
      <c r="D450" s="35" t="n">
        <v>1</v>
      </c>
      <c r="E450" s="35" t="n">
        <v>0</v>
      </c>
      <c r="F450" s="35" t="n">
        <v>0</v>
      </c>
      <c r="G450" s="35" t="n">
        <v>0</v>
      </c>
      <c r="H450" s="35" t="n">
        <v>0</v>
      </c>
      <c r="I450" s="35" t="n">
        <v>0</v>
      </c>
      <c r="J450" s="35" t="n">
        <v>0</v>
      </c>
      <c r="K450" s="35" t="n">
        <v>1</v>
      </c>
      <c r="L450" s="35" t="n">
        <v>0</v>
      </c>
      <c r="M450" s="35" t="n">
        <v>0</v>
      </c>
      <c r="N450" s="35" t="n">
        <v>0</v>
      </c>
      <c r="O450" s="35" t="n">
        <v>0</v>
      </c>
      <c r="P450" s="35" t="n">
        <v>0</v>
      </c>
      <c r="Q450" s="35" t="n">
        <v>0</v>
      </c>
      <c r="R450" s="35" t="n">
        <v>0</v>
      </c>
      <c r="S450" s="35" t="n">
        <v>0</v>
      </c>
      <c r="T450" s="35" t="n">
        <v>1</v>
      </c>
      <c r="U450" s="35" t="n">
        <v>0</v>
      </c>
      <c r="V450" s="35" t="n">
        <v>0</v>
      </c>
      <c r="W450" s="35" t="n">
        <v>0</v>
      </c>
      <c r="X450" s="35" t="n">
        <v>0</v>
      </c>
      <c r="Y450" s="35" t="n">
        <v>0</v>
      </c>
      <c r="Z450" s="35" t="n">
        <v>0</v>
      </c>
      <c r="AA450" s="35" t="n">
        <v>0</v>
      </c>
      <c r="AB450" s="35" t="n">
        <v>1</v>
      </c>
      <c r="AC450" s="33" t="s">
        <v>551</v>
      </c>
      <c r="AD450" s="36" t="n">
        <f aca="false">B450-B449</f>
        <v>0.125</v>
      </c>
    </row>
    <row r="451" customFormat="false" ht="15" hidden="false" customHeight="false" outlineLevel="0" collapsed="false">
      <c r="A451" s="30" t="n">
        <v>448</v>
      </c>
      <c r="B451" s="31" t="n">
        <f aca="false">Summary!$B$5+IF(D451=1,0,IF(C451=1,Summary!$B$6,NA()))+(MATCH(1,E451:L451,0)-1)*Summary!$B$7+(MATCH(1,M451:T451,0)-1)*Summary!$B$8+(MATCH(1,U451:AB451,0)-1)*Summary!$B$9</f>
        <v>86</v>
      </c>
      <c r="C451" s="32" t="n">
        <v>0</v>
      </c>
      <c r="D451" s="32" t="n">
        <v>1</v>
      </c>
      <c r="E451" s="32" t="n">
        <v>0</v>
      </c>
      <c r="F451" s="32" t="n">
        <v>0</v>
      </c>
      <c r="G451" s="32" t="n">
        <v>0</v>
      </c>
      <c r="H451" s="32" t="n">
        <v>0</v>
      </c>
      <c r="I451" s="32" t="n">
        <v>0</v>
      </c>
      <c r="J451" s="32" t="n">
        <v>0</v>
      </c>
      <c r="K451" s="32" t="n">
        <v>0</v>
      </c>
      <c r="L451" s="32" t="n">
        <v>1</v>
      </c>
      <c r="M451" s="32" t="n">
        <v>1</v>
      </c>
      <c r="N451" s="32" t="n">
        <v>0</v>
      </c>
      <c r="O451" s="32" t="n">
        <v>0</v>
      </c>
      <c r="P451" s="32" t="n">
        <v>0</v>
      </c>
      <c r="Q451" s="32" t="n">
        <v>0</v>
      </c>
      <c r="R451" s="32" t="n">
        <v>0</v>
      </c>
      <c r="S451" s="32" t="n">
        <v>0</v>
      </c>
      <c r="T451" s="32" t="n">
        <v>0</v>
      </c>
      <c r="U451" s="32" t="n">
        <v>1</v>
      </c>
      <c r="V451" s="32" t="n">
        <v>0</v>
      </c>
      <c r="W451" s="32" t="n">
        <v>0</v>
      </c>
      <c r="X451" s="32" t="n">
        <v>0</v>
      </c>
      <c r="Y451" s="32" t="n">
        <v>0</v>
      </c>
      <c r="Z451" s="32" t="n">
        <v>0</v>
      </c>
      <c r="AA451" s="32" t="n">
        <v>0</v>
      </c>
      <c r="AB451" s="32" t="n">
        <v>0</v>
      </c>
      <c r="AC451" s="30" t="s">
        <v>552</v>
      </c>
      <c r="AD451" s="37" t="n">
        <f aca="false">B451-B450</f>
        <v>0.125</v>
      </c>
    </row>
    <row r="452" customFormat="false" ht="15" hidden="false" customHeight="false" outlineLevel="0" collapsed="false">
      <c r="A452" s="33" t="n">
        <v>449</v>
      </c>
      <c r="B452" s="34" t="n">
        <f aca="false">Summary!$B$5+IF(D452=1,0,IF(C452=1,Summary!$B$6,NA()))+(MATCH(1,E452:L452,0)-1)*Summary!$B$7+(MATCH(1,M452:T452,0)-1)*Summary!$B$8+(MATCH(1,U452:AB452,0)-1)*Summary!$B$9</f>
        <v>86.125</v>
      </c>
      <c r="C452" s="35" t="n">
        <v>0</v>
      </c>
      <c r="D452" s="35" t="n">
        <v>1</v>
      </c>
      <c r="E452" s="35" t="n">
        <v>0</v>
      </c>
      <c r="F452" s="35" t="n">
        <v>0</v>
      </c>
      <c r="G452" s="35" t="n">
        <v>0</v>
      </c>
      <c r="H452" s="35" t="n">
        <v>0</v>
      </c>
      <c r="I452" s="35" t="n">
        <v>0</v>
      </c>
      <c r="J452" s="35" t="n">
        <v>0</v>
      </c>
      <c r="K452" s="35" t="n">
        <v>0</v>
      </c>
      <c r="L452" s="35" t="n">
        <v>1</v>
      </c>
      <c r="M452" s="35" t="n">
        <v>1</v>
      </c>
      <c r="N452" s="35" t="n">
        <v>0</v>
      </c>
      <c r="O452" s="35" t="n">
        <v>0</v>
      </c>
      <c r="P452" s="35" t="n">
        <v>0</v>
      </c>
      <c r="Q452" s="35" t="n">
        <v>0</v>
      </c>
      <c r="R452" s="35" t="n">
        <v>0</v>
      </c>
      <c r="S452" s="35" t="n">
        <v>0</v>
      </c>
      <c r="T452" s="35" t="n">
        <v>0</v>
      </c>
      <c r="U452" s="35" t="n">
        <v>0</v>
      </c>
      <c r="V452" s="35" t="n">
        <v>1</v>
      </c>
      <c r="W452" s="35" t="n">
        <v>0</v>
      </c>
      <c r="X452" s="35" t="n">
        <v>0</v>
      </c>
      <c r="Y452" s="35" t="n">
        <v>0</v>
      </c>
      <c r="Z452" s="35" t="n">
        <v>0</v>
      </c>
      <c r="AA452" s="35" t="n">
        <v>0</v>
      </c>
      <c r="AB452" s="35" t="n">
        <v>0</v>
      </c>
      <c r="AC452" s="33" t="s">
        <v>553</v>
      </c>
      <c r="AD452" s="36" t="n">
        <f aca="false">B452-B451</f>
        <v>0.125</v>
      </c>
    </row>
    <row r="453" customFormat="false" ht="15" hidden="false" customHeight="false" outlineLevel="0" collapsed="false">
      <c r="A453" s="30" t="n">
        <v>450</v>
      </c>
      <c r="B453" s="31" t="n">
        <f aca="false">Summary!$B$5+IF(D453=1,0,IF(C453=1,Summary!$B$6,NA()))+(MATCH(1,E453:L453,0)-1)*Summary!$B$7+(MATCH(1,M453:T453,0)-1)*Summary!$B$8+(MATCH(1,U453:AB453,0)-1)*Summary!$B$9</f>
        <v>86.25</v>
      </c>
      <c r="C453" s="32" t="n">
        <v>0</v>
      </c>
      <c r="D453" s="32" t="n">
        <v>1</v>
      </c>
      <c r="E453" s="32" t="n">
        <v>0</v>
      </c>
      <c r="F453" s="32" t="n">
        <v>0</v>
      </c>
      <c r="G453" s="32" t="n">
        <v>0</v>
      </c>
      <c r="H453" s="32" t="n">
        <v>0</v>
      </c>
      <c r="I453" s="32" t="n">
        <v>0</v>
      </c>
      <c r="J453" s="32" t="n">
        <v>0</v>
      </c>
      <c r="K453" s="32" t="n">
        <v>0</v>
      </c>
      <c r="L453" s="32" t="n">
        <v>1</v>
      </c>
      <c r="M453" s="32" t="n">
        <v>1</v>
      </c>
      <c r="N453" s="32" t="n">
        <v>0</v>
      </c>
      <c r="O453" s="32" t="n">
        <v>0</v>
      </c>
      <c r="P453" s="32" t="n">
        <v>0</v>
      </c>
      <c r="Q453" s="32" t="n">
        <v>0</v>
      </c>
      <c r="R453" s="32" t="n">
        <v>0</v>
      </c>
      <c r="S453" s="32" t="n">
        <v>0</v>
      </c>
      <c r="T453" s="32" t="n">
        <v>0</v>
      </c>
      <c r="U453" s="32" t="n">
        <v>0</v>
      </c>
      <c r="V453" s="32" t="n">
        <v>0</v>
      </c>
      <c r="W453" s="32" t="n">
        <v>1</v>
      </c>
      <c r="X453" s="32" t="n">
        <v>0</v>
      </c>
      <c r="Y453" s="32" t="n">
        <v>0</v>
      </c>
      <c r="Z453" s="32" t="n">
        <v>0</v>
      </c>
      <c r="AA453" s="32" t="n">
        <v>0</v>
      </c>
      <c r="AB453" s="32" t="n">
        <v>0</v>
      </c>
      <c r="AC453" s="30" t="s">
        <v>554</v>
      </c>
      <c r="AD453" s="37" t="n">
        <f aca="false">B453-B452</f>
        <v>0.125</v>
      </c>
    </row>
    <row r="454" customFormat="false" ht="15" hidden="false" customHeight="false" outlineLevel="0" collapsed="false">
      <c r="A454" s="33" t="n">
        <v>451</v>
      </c>
      <c r="B454" s="34" t="n">
        <f aca="false">Summary!$B$5+IF(D454=1,0,IF(C454=1,Summary!$B$6,NA()))+(MATCH(1,E454:L454,0)-1)*Summary!$B$7+(MATCH(1,M454:T454,0)-1)*Summary!$B$8+(MATCH(1,U454:AB454,0)-1)*Summary!$B$9</f>
        <v>86.375</v>
      </c>
      <c r="C454" s="35" t="n">
        <v>0</v>
      </c>
      <c r="D454" s="35" t="n">
        <v>1</v>
      </c>
      <c r="E454" s="35" t="n">
        <v>0</v>
      </c>
      <c r="F454" s="35" t="n">
        <v>0</v>
      </c>
      <c r="G454" s="35" t="n">
        <v>0</v>
      </c>
      <c r="H454" s="35" t="n">
        <v>0</v>
      </c>
      <c r="I454" s="35" t="n">
        <v>0</v>
      </c>
      <c r="J454" s="35" t="n">
        <v>0</v>
      </c>
      <c r="K454" s="35" t="n">
        <v>0</v>
      </c>
      <c r="L454" s="35" t="n">
        <v>1</v>
      </c>
      <c r="M454" s="35" t="n">
        <v>1</v>
      </c>
      <c r="N454" s="35" t="n">
        <v>0</v>
      </c>
      <c r="O454" s="35" t="n">
        <v>0</v>
      </c>
      <c r="P454" s="35" t="n">
        <v>0</v>
      </c>
      <c r="Q454" s="35" t="n">
        <v>0</v>
      </c>
      <c r="R454" s="35" t="n">
        <v>0</v>
      </c>
      <c r="S454" s="35" t="n">
        <v>0</v>
      </c>
      <c r="T454" s="35" t="n">
        <v>0</v>
      </c>
      <c r="U454" s="35" t="n">
        <v>0</v>
      </c>
      <c r="V454" s="35" t="n">
        <v>0</v>
      </c>
      <c r="W454" s="35" t="n">
        <v>0</v>
      </c>
      <c r="X454" s="35" t="n">
        <v>1</v>
      </c>
      <c r="Y454" s="35" t="n">
        <v>0</v>
      </c>
      <c r="Z454" s="35" t="n">
        <v>0</v>
      </c>
      <c r="AA454" s="35" t="n">
        <v>0</v>
      </c>
      <c r="AB454" s="35" t="n">
        <v>0</v>
      </c>
      <c r="AC454" s="33" t="s">
        <v>555</v>
      </c>
      <c r="AD454" s="36" t="n">
        <f aca="false">B454-B453</f>
        <v>0.125</v>
      </c>
    </row>
    <row r="455" customFormat="false" ht="15" hidden="false" customHeight="false" outlineLevel="0" collapsed="false">
      <c r="A455" s="30" t="n">
        <v>452</v>
      </c>
      <c r="B455" s="31" t="n">
        <f aca="false">Summary!$B$5+IF(D455=1,0,IF(C455=1,Summary!$B$6,NA()))+(MATCH(1,E455:L455,0)-1)*Summary!$B$7+(MATCH(1,M455:T455,0)-1)*Summary!$B$8+(MATCH(1,U455:AB455,0)-1)*Summary!$B$9</f>
        <v>86.5</v>
      </c>
      <c r="C455" s="32" t="n">
        <v>0</v>
      </c>
      <c r="D455" s="32" t="n">
        <v>1</v>
      </c>
      <c r="E455" s="32" t="n">
        <v>0</v>
      </c>
      <c r="F455" s="32" t="n">
        <v>0</v>
      </c>
      <c r="G455" s="32" t="n">
        <v>0</v>
      </c>
      <c r="H455" s="32" t="n">
        <v>0</v>
      </c>
      <c r="I455" s="32" t="n">
        <v>0</v>
      </c>
      <c r="J455" s="32" t="n">
        <v>0</v>
      </c>
      <c r="K455" s="32" t="n">
        <v>0</v>
      </c>
      <c r="L455" s="32" t="n">
        <v>1</v>
      </c>
      <c r="M455" s="32" t="n">
        <v>1</v>
      </c>
      <c r="N455" s="32" t="n">
        <v>0</v>
      </c>
      <c r="O455" s="32" t="n">
        <v>0</v>
      </c>
      <c r="P455" s="32" t="n">
        <v>0</v>
      </c>
      <c r="Q455" s="32" t="n">
        <v>0</v>
      </c>
      <c r="R455" s="32" t="n">
        <v>0</v>
      </c>
      <c r="S455" s="32" t="n">
        <v>0</v>
      </c>
      <c r="T455" s="32" t="n">
        <v>0</v>
      </c>
      <c r="U455" s="32" t="n">
        <v>0</v>
      </c>
      <c r="V455" s="32" t="n">
        <v>0</v>
      </c>
      <c r="W455" s="32" t="n">
        <v>0</v>
      </c>
      <c r="X455" s="32" t="n">
        <v>0</v>
      </c>
      <c r="Y455" s="32" t="n">
        <v>1</v>
      </c>
      <c r="Z455" s="32" t="n">
        <v>0</v>
      </c>
      <c r="AA455" s="32" t="n">
        <v>0</v>
      </c>
      <c r="AB455" s="32" t="n">
        <v>0</v>
      </c>
      <c r="AC455" s="30" t="s">
        <v>556</v>
      </c>
      <c r="AD455" s="37" t="n">
        <f aca="false">B455-B454</f>
        <v>0.125</v>
      </c>
    </row>
    <row r="456" customFormat="false" ht="15" hidden="false" customHeight="false" outlineLevel="0" collapsed="false">
      <c r="A456" s="33" t="n">
        <v>453</v>
      </c>
      <c r="B456" s="34" t="n">
        <f aca="false">Summary!$B$5+IF(D456=1,0,IF(C456=1,Summary!$B$6,NA()))+(MATCH(1,E456:L456,0)-1)*Summary!$B$7+(MATCH(1,M456:T456,0)-1)*Summary!$B$8+(MATCH(1,U456:AB456,0)-1)*Summary!$B$9</f>
        <v>86.625</v>
      </c>
      <c r="C456" s="35" t="n">
        <v>0</v>
      </c>
      <c r="D456" s="35" t="n">
        <v>1</v>
      </c>
      <c r="E456" s="35" t="n">
        <v>0</v>
      </c>
      <c r="F456" s="35" t="n">
        <v>0</v>
      </c>
      <c r="G456" s="35" t="n">
        <v>0</v>
      </c>
      <c r="H456" s="35" t="n">
        <v>0</v>
      </c>
      <c r="I456" s="35" t="n">
        <v>0</v>
      </c>
      <c r="J456" s="35" t="n">
        <v>0</v>
      </c>
      <c r="K456" s="35" t="n">
        <v>0</v>
      </c>
      <c r="L456" s="35" t="n">
        <v>1</v>
      </c>
      <c r="M456" s="35" t="n">
        <v>1</v>
      </c>
      <c r="N456" s="35" t="n">
        <v>0</v>
      </c>
      <c r="O456" s="35" t="n">
        <v>0</v>
      </c>
      <c r="P456" s="35" t="n">
        <v>0</v>
      </c>
      <c r="Q456" s="35" t="n">
        <v>0</v>
      </c>
      <c r="R456" s="35" t="n">
        <v>0</v>
      </c>
      <c r="S456" s="35" t="n">
        <v>0</v>
      </c>
      <c r="T456" s="35" t="n">
        <v>0</v>
      </c>
      <c r="U456" s="35" t="n">
        <v>0</v>
      </c>
      <c r="V456" s="35" t="n">
        <v>0</v>
      </c>
      <c r="W456" s="35" t="n">
        <v>0</v>
      </c>
      <c r="X456" s="35" t="n">
        <v>0</v>
      </c>
      <c r="Y456" s="35" t="n">
        <v>0</v>
      </c>
      <c r="Z456" s="35" t="n">
        <v>1</v>
      </c>
      <c r="AA456" s="35" t="n">
        <v>0</v>
      </c>
      <c r="AB456" s="35" t="n">
        <v>0</v>
      </c>
      <c r="AC456" s="33" t="s">
        <v>557</v>
      </c>
      <c r="AD456" s="36" t="n">
        <f aca="false">B456-B455</f>
        <v>0.125</v>
      </c>
    </row>
    <row r="457" customFormat="false" ht="15" hidden="false" customHeight="false" outlineLevel="0" collapsed="false">
      <c r="A457" s="30" t="n">
        <v>454</v>
      </c>
      <c r="B457" s="31" t="n">
        <f aca="false">Summary!$B$5+IF(D457=1,0,IF(C457=1,Summary!$B$6,NA()))+(MATCH(1,E457:L457,0)-1)*Summary!$B$7+(MATCH(1,M457:T457,0)-1)*Summary!$B$8+(MATCH(1,U457:AB457,0)-1)*Summary!$B$9</f>
        <v>86.75</v>
      </c>
      <c r="C457" s="32" t="n">
        <v>0</v>
      </c>
      <c r="D457" s="32" t="n">
        <v>1</v>
      </c>
      <c r="E457" s="32" t="n">
        <v>0</v>
      </c>
      <c r="F457" s="32" t="n">
        <v>0</v>
      </c>
      <c r="G457" s="32" t="n">
        <v>0</v>
      </c>
      <c r="H457" s="32" t="n">
        <v>0</v>
      </c>
      <c r="I457" s="32" t="n">
        <v>0</v>
      </c>
      <c r="J457" s="32" t="n">
        <v>0</v>
      </c>
      <c r="K457" s="32" t="n">
        <v>0</v>
      </c>
      <c r="L457" s="32" t="n">
        <v>1</v>
      </c>
      <c r="M457" s="32" t="n">
        <v>1</v>
      </c>
      <c r="N457" s="32" t="n">
        <v>0</v>
      </c>
      <c r="O457" s="32" t="n">
        <v>0</v>
      </c>
      <c r="P457" s="32" t="n">
        <v>0</v>
      </c>
      <c r="Q457" s="32" t="n">
        <v>0</v>
      </c>
      <c r="R457" s="32" t="n">
        <v>0</v>
      </c>
      <c r="S457" s="32" t="n">
        <v>0</v>
      </c>
      <c r="T457" s="32" t="n">
        <v>0</v>
      </c>
      <c r="U457" s="32" t="n">
        <v>0</v>
      </c>
      <c r="V457" s="32" t="n">
        <v>0</v>
      </c>
      <c r="W457" s="32" t="n">
        <v>0</v>
      </c>
      <c r="X457" s="32" t="n">
        <v>0</v>
      </c>
      <c r="Y457" s="32" t="n">
        <v>0</v>
      </c>
      <c r="Z457" s="32" t="n">
        <v>0</v>
      </c>
      <c r="AA457" s="32" t="n">
        <v>1</v>
      </c>
      <c r="AB457" s="32" t="n">
        <v>0</v>
      </c>
      <c r="AC457" s="30" t="s">
        <v>558</v>
      </c>
      <c r="AD457" s="37" t="n">
        <f aca="false">B457-B456</f>
        <v>0.125</v>
      </c>
    </row>
    <row r="458" customFormat="false" ht="15" hidden="false" customHeight="false" outlineLevel="0" collapsed="false">
      <c r="A458" s="33" t="n">
        <v>455</v>
      </c>
      <c r="B458" s="34" t="n">
        <f aca="false">Summary!$B$5+IF(D458=1,0,IF(C458=1,Summary!$B$6,NA()))+(MATCH(1,E458:L458,0)-1)*Summary!$B$7+(MATCH(1,M458:T458,0)-1)*Summary!$B$8+(MATCH(1,U458:AB458,0)-1)*Summary!$B$9</f>
        <v>86.875</v>
      </c>
      <c r="C458" s="35" t="n">
        <v>0</v>
      </c>
      <c r="D458" s="35" t="n">
        <v>1</v>
      </c>
      <c r="E458" s="35" t="n">
        <v>0</v>
      </c>
      <c r="F458" s="35" t="n">
        <v>0</v>
      </c>
      <c r="G458" s="35" t="n">
        <v>0</v>
      </c>
      <c r="H458" s="35" t="n">
        <v>0</v>
      </c>
      <c r="I458" s="35" t="n">
        <v>0</v>
      </c>
      <c r="J458" s="35" t="n">
        <v>0</v>
      </c>
      <c r="K458" s="35" t="n">
        <v>0</v>
      </c>
      <c r="L458" s="35" t="n">
        <v>1</v>
      </c>
      <c r="M458" s="35" t="n">
        <v>1</v>
      </c>
      <c r="N458" s="35" t="n">
        <v>0</v>
      </c>
      <c r="O458" s="35" t="n">
        <v>0</v>
      </c>
      <c r="P458" s="35" t="n">
        <v>0</v>
      </c>
      <c r="Q458" s="35" t="n">
        <v>0</v>
      </c>
      <c r="R458" s="35" t="n">
        <v>0</v>
      </c>
      <c r="S458" s="35" t="n">
        <v>0</v>
      </c>
      <c r="T458" s="35" t="n">
        <v>0</v>
      </c>
      <c r="U458" s="35" t="n">
        <v>0</v>
      </c>
      <c r="V458" s="35" t="n">
        <v>0</v>
      </c>
      <c r="W458" s="35" t="n">
        <v>0</v>
      </c>
      <c r="X458" s="35" t="n">
        <v>0</v>
      </c>
      <c r="Y458" s="35" t="n">
        <v>0</v>
      </c>
      <c r="Z458" s="35" t="n">
        <v>0</v>
      </c>
      <c r="AA458" s="35" t="n">
        <v>0</v>
      </c>
      <c r="AB458" s="35" t="n">
        <v>1</v>
      </c>
      <c r="AC458" s="33" t="s">
        <v>559</v>
      </c>
      <c r="AD458" s="36" t="n">
        <f aca="false">B458-B457</f>
        <v>0.125</v>
      </c>
    </row>
    <row r="459" customFormat="false" ht="15" hidden="false" customHeight="false" outlineLevel="0" collapsed="false">
      <c r="A459" s="30" t="n">
        <v>456</v>
      </c>
      <c r="B459" s="31" t="n">
        <f aca="false">Summary!$B$5+IF(D459=1,0,IF(C459=1,Summary!$B$6,NA()))+(MATCH(1,E459:L459,0)-1)*Summary!$B$7+(MATCH(1,M459:T459,0)-1)*Summary!$B$8+(MATCH(1,U459:AB459,0)-1)*Summary!$B$9</f>
        <v>87</v>
      </c>
      <c r="C459" s="32" t="n">
        <v>0</v>
      </c>
      <c r="D459" s="32" t="n">
        <v>1</v>
      </c>
      <c r="E459" s="32" t="n">
        <v>0</v>
      </c>
      <c r="F459" s="32" t="n">
        <v>0</v>
      </c>
      <c r="G459" s="32" t="n">
        <v>0</v>
      </c>
      <c r="H459" s="32" t="n">
        <v>0</v>
      </c>
      <c r="I459" s="32" t="n">
        <v>0</v>
      </c>
      <c r="J459" s="32" t="n">
        <v>0</v>
      </c>
      <c r="K459" s="32" t="n">
        <v>0</v>
      </c>
      <c r="L459" s="32" t="n">
        <v>1</v>
      </c>
      <c r="M459" s="32" t="n">
        <v>0</v>
      </c>
      <c r="N459" s="32" t="n">
        <v>1</v>
      </c>
      <c r="O459" s="32" t="n">
        <v>0</v>
      </c>
      <c r="P459" s="32" t="n">
        <v>0</v>
      </c>
      <c r="Q459" s="32" t="n">
        <v>0</v>
      </c>
      <c r="R459" s="32" t="n">
        <v>0</v>
      </c>
      <c r="S459" s="32" t="n">
        <v>0</v>
      </c>
      <c r="T459" s="32" t="n">
        <v>0</v>
      </c>
      <c r="U459" s="32" t="n">
        <v>1</v>
      </c>
      <c r="V459" s="32" t="n">
        <v>0</v>
      </c>
      <c r="W459" s="32" t="n">
        <v>0</v>
      </c>
      <c r="X459" s="32" t="n">
        <v>0</v>
      </c>
      <c r="Y459" s="32" t="n">
        <v>0</v>
      </c>
      <c r="Z459" s="32" t="n">
        <v>0</v>
      </c>
      <c r="AA459" s="32" t="n">
        <v>0</v>
      </c>
      <c r="AB459" s="32" t="n">
        <v>0</v>
      </c>
      <c r="AC459" s="30" t="s">
        <v>560</v>
      </c>
      <c r="AD459" s="37" t="n">
        <f aca="false">B459-B458</f>
        <v>0.125</v>
      </c>
    </row>
    <row r="460" customFormat="false" ht="15" hidden="false" customHeight="false" outlineLevel="0" collapsed="false">
      <c r="A460" s="33" t="n">
        <v>457</v>
      </c>
      <c r="B460" s="34" t="n">
        <f aca="false">Summary!$B$5+IF(D460=1,0,IF(C460=1,Summary!$B$6,NA()))+(MATCH(1,E460:L460,0)-1)*Summary!$B$7+(MATCH(1,M460:T460,0)-1)*Summary!$B$8+(MATCH(1,U460:AB460,0)-1)*Summary!$B$9</f>
        <v>87.125</v>
      </c>
      <c r="C460" s="35" t="n">
        <v>0</v>
      </c>
      <c r="D460" s="35" t="n">
        <v>1</v>
      </c>
      <c r="E460" s="35" t="n">
        <v>0</v>
      </c>
      <c r="F460" s="35" t="n">
        <v>0</v>
      </c>
      <c r="G460" s="35" t="n">
        <v>0</v>
      </c>
      <c r="H460" s="35" t="n">
        <v>0</v>
      </c>
      <c r="I460" s="35" t="n">
        <v>0</v>
      </c>
      <c r="J460" s="35" t="n">
        <v>0</v>
      </c>
      <c r="K460" s="35" t="n">
        <v>0</v>
      </c>
      <c r="L460" s="35" t="n">
        <v>1</v>
      </c>
      <c r="M460" s="35" t="n">
        <v>0</v>
      </c>
      <c r="N460" s="35" t="n">
        <v>1</v>
      </c>
      <c r="O460" s="35" t="n">
        <v>0</v>
      </c>
      <c r="P460" s="35" t="n">
        <v>0</v>
      </c>
      <c r="Q460" s="35" t="n">
        <v>0</v>
      </c>
      <c r="R460" s="35" t="n">
        <v>0</v>
      </c>
      <c r="S460" s="35" t="n">
        <v>0</v>
      </c>
      <c r="T460" s="35" t="n">
        <v>0</v>
      </c>
      <c r="U460" s="35" t="n">
        <v>0</v>
      </c>
      <c r="V460" s="35" t="n">
        <v>1</v>
      </c>
      <c r="W460" s="35" t="n">
        <v>0</v>
      </c>
      <c r="X460" s="35" t="n">
        <v>0</v>
      </c>
      <c r="Y460" s="35" t="n">
        <v>0</v>
      </c>
      <c r="Z460" s="35" t="n">
        <v>0</v>
      </c>
      <c r="AA460" s="35" t="n">
        <v>0</v>
      </c>
      <c r="AB460" s="35" t="n">
        <v>0</v>
      </c>
      <c r="AC460" s="33" t="s">
        <v>561</v>
      </c>
      <c r="AD460" s="36" t="n">
        <f aca="false">B460-B459</f>
        <v>0.125</v>
      </c>
    </row>
    <row r="461" customFormat="false" ht="15" hidden="false" customHeight="false" outlineLevel="0" collapsed="false">
      <c r="A461" s="30" t="n">
        <v>458</v>
      </c>
      <c r="B461" s="31" t="n">
        <f aca="false">Summary!$B$5+IF(D461=1,0,IF(C461=1,Summary!$B$6,NA()))+(MATCH(1,E461:L461,0)-1)*Summary!$B$7+(MATCH(1,M461:T461,0)-1)*Summary!$B$8+(MATCH(1,U461:AB461,0)-1)*Summary!$B$9</f>
        <v>87.25</v>
      </c>
      <c r="C461" s="32" t="n">
        <v>0</v>
      </c>
      <c r="D461" s="32" t="n">
        <v>1</v>
      </c>
      <c r="E461" s="32" t="n">
        <v>0</v>
      </c>
      <c r="F461" s="32" t="n">
        <v>0</v>
      </c>
      <c r="G461" s="32" t="n">
        <v>0</v>
      </c>
      <c r="H461" s="32" t="n">
        <v>0</v>
      </c>
      <c r="I461" s="32" t="n">
        <v>0</v>
      </c>
      <c r="J461" s="32" t="n">
        <v>0</v>
      </c>
      <c r="K461" s="32" t="n">
        <v>0</v>
      </c>
      <c r="L461" s="32" t="n">
        <v>1</v>
      </c>
      <c r="M461" s="32" t="n">
        <v>0</v>
      </c>
      <c r="N461" s="32" t="n">
        <v>1</v>
      </c>
      <c r="O461" s="32" t="n">
        <v>0</v>
      </c>
      <c r="P461" s="32" t="n">
        <v>0</v>
      </c>
      <c r="Q461" s="32" t="n">
        <v>0</v>
      </c>
      <c r="R461" s="32" t="n">
        <v>0</v>
      </c>
      <c r="S461" s="32" t="n">
        <v>0</v>
      </c>
      <c r="T461" s="32" t="n">
        <v>0</v>
      </c>
      <c r="U461" s="32" t="n">
        <v>0</v>
      </c>
      <c r="V461" s="32" t="n">
        <v>0</v>
      </c>
      <c r="W461" s="32" t="n">
        <v>1</v>
      </c>
      <c r="X461" s="32" t="n">
        <v>0</v>
      </c>
      <c r="Y461" s="32" t="n">
        <v>0</v>
      </c>
      <c r="Z461" s="32" t="n">
        <v>0</v>
      </c>
      <c r="AA461" s="32" t="n">
        <v>0</v>
      </c>
      <c r="AB461" s="32" t="n">
        <v>0</v>
      </c>
      <c r="AC461" s="30" t="s">
        <v>562</v>
      </c>
      <c r="AD461" s="37" t="n">
        <f aca="false">B461-B460</f>
        <v>0.125</v>
      </c>
    </row>
    <row r="462" customFormat="false" ht="15" hidden="false" customHeight="false" outlineLevel="0" collapsed="false">
      <c r="A462" s="33" t="n">
        <v>459</v>
      </c>
      <c r="B462" s="34" t="n">
        <f aca="false">Summary!$B$5+IF(D462=1,0,IF(C462=1,Summary!$B$6,NA()))+(MATCH(1,E462:L462,0)-1)*Summary!$B$7+(MATCH(1,M462:T462,0)-1)*Summary!$B$8+(MATCH(1,U462:AB462,0)-1)*Summary!$B$9</f>
        <v>87.375</v>
      </c>
      <c r="C462" s="35" t="n">
        <v>0</v>
      </c>
      <c r="D462" s="35" t="n">
        <v>1</v>
      </c>
      <c r="E462" s="35" t="n">
        <v>0</v>
      </c>
      <c r="F462" s="35" t="n">
        <v>0</v>
      </c>
      <c r="G462" s="35" t="n">
        <v>0</v>
      </c>
      <c r="H462" s="35" t="n">
        <v>0</v>
      </c>
      <c r="I462" s="35" t="n">
        <v>0</v>
      </c>
      <c r="J462" s="35" t="n">
        <v>0</v>
      </c>
      <c r="K462" s="35" t="n">
        <v>0</v>
      </c>
      <c r="L462" s="35" t="n">
        <v>1</v>
      </c>
      <c r="M462" s="35" t="n">
        <v>0</v>
      </c>
      <c r="N462" s="35" t="n">
        <v>1</v>
      </c>
      <c r="O462" s="35" t="n">
        <v>0</v>
      </c>
      <c r="P462" s="35" t="n">
        <v>0</v>
      </c>
      <c r="Q462" s="35" t="n">
        <v>0</v>
      </c>
      <c r="R462" s="35" t="n">
        <v>0</v>
      </c>
      <c r="S462" s="35" t="n">
        <v>0</v>
      </c>
      <c r="T462" s="35" t="n">
        <v>0</v>
      </c>
      <c r="U462" s="35" t="n">
        <v>0</v>
      </c>
      <c r="V462" s="35" t="n">
        <v>0</v>
      </c>
      <c r="W462" s="35" t="n">
        <v>0</v>
      </c>
      <c r="X462" s="35" t="n">
        <v>1</v>
      </c>
      <c r="Y462" s="35" t="n">
        <v>0</v>
      </c>
      <c r="Z462" s="35" t="n">
        <v>0</v>
      </c>
      <c r="AA462" s="35" t="n">
        <v>0</v>
      </c>
      <c r="AB462" s="35" t="n">
        <v>0</v>
      </c>
      <c r="AC462" s="33" t="s">
        <v>563</v>
      </c>
      <c r="AD462" s="36" t="n">
        <f aca="false">B462-B461</f>
        <v>0.125</v>
      </c>
    </row>
    <row r="463" customFormat="false" ht="15" hidden="false" customHeight="false" outlineLevel="0" collapsed="false">
      <c r="A463" s="30" t="n">
        <v>460</v>
      </c>
      <c r="B463" s="31" t="n">
        <f aca="false">Summary!$B$5+IF(D463=1,0,IF(C463=1,Summary!$B$6,NA()))+(MATCH(1,E463:L463,0)-1)*Summary!$B$7+(MATCH(1,M463:T463,0)-1)*Summary!$B$8+(MATCH(1,U463:AB463,0)-1)*Summary!$B$9</f>
        <v>87.5</v>
      </c>
      <c r="C463" s="32" t="n">
        <v>0</v>
      </c>
      <c r="D463" s="32" t="n">
        <v>1</v>
      </c>
      <c r="E463" s="32" t="n">
        <v>0</v>
      </c>
      <c r="F463" s="32" t="n">
        <v>0</v>
      </c>
      <c r="G463" s="32" t="n">
        <v>0</v>
      </c>
      <c r="H463" s="32" t="n">
        <v>0</v>
      </c>
      <c r="I463" s="32" t="n">
        <v>0</v>
      </c>
      <c r="J463" s="32" t="n">
        <v>0</v>
      </c>
      <c r="K463" s="32" t="n">
        <v>0</v>
      </c>
      <c r="L463" s="32" t="n">
        <v>1</v>
      </c>
      <c r="M463" s="32" t="n">
        <v>0</v>
      </c>
      <c r="N463" s="32" t="n">
        <v>1</v>
      </c>
      <c r="O463" s="32" t="n">
        <v>0</v>
      </c>
      <c r="P463" s="32" t="n">
        <v>0</v>
      </c>
      <c r="Q463" s="32" t="n">
        <v>0</v>
      </c>
      <c r="R463" s="32" t="n">
        <v>0</v>
      </c>
      <c r="S463" s="32" t="n">
        <v>0</v>
      </c>
      <c r="T463" s="32" t="n">
        <v>0</v>
      </c>
      <c r="U463" s="32" t="n">
        <v>0</v>
      </c>
      <c r="V463" s="32" t="n">
        <v>0</v>
      </c>
      <c r="W463" s="32" t="n">
        <v>0</v>
      </c>
      <c r="X463" s="32" t="n">
        <v>0</v>
      </c>
      <c r="Y463" s="32" t="n">
        <v>1</v>
      </c>
      <c r="Z463" s="32" t="n">
        <v>0</v>
      </c>
      <c r="AA463" s="32" t="n">
        <v>0</v>
      </c>
      <c r="AB463" s="32" t="n">
        <v>0</v>
      </c>
      <c r="AC463" s="30" t="s">
        <v>564</v>
      </c>
      <c r="AD463" s="37" t="n">
        <f aca="false">B463-B462</f>
        <v>0.125</v>
      </c>
    </row>
    <row r="464" customFormat="false" ht="15" hidden="false" customHeight="false" outlineLevel="0" collapsed="false">
      <c r="A464" s="33" t="n">
        <v>461</v>
      </c>
      <c r="B464" s="34" t="n">
        <f aca="false">Summary!$B$5+IF(D464=1,0,IF(C464=1,Summary!$B$6,NA()))+(MATCH(1,E464:L464,0)-1)*Summary!$B$7+(MATCH(1,M464:T464,0)-1)*Summary!$B$8+(MATCH(1,U464:AB464,0)-1)*Summary!$B$9</f>
        <v>87.625</v>
      </c>
      <c r="C464" s="35" t="n">
        <v>0</v>
      </c>
      <c r="D464" s="35" t="n">
        <v>1</v>
      </c>
      <c r="E464" s="35" t="n">
        <v>0</v>
      </c>
      <c r="F464" s="35" t="n">
        <v>0</v>
      </c>
      <c r="G464" s="35" t="n">
        <v>0</v>
      </c>
      <c r="H464" s="35" t="n">
        <v>0</v>
      </c>
      <c r="I464" s="35" t="n">
        <v>0</v>
      </c>
      <c r="J464" s="35" t="n">
        <v>0</v>
      </c>
      <c r="K464" s="35" t="n">
        <v>0</v>
      </c>
      <c r="L464" s="35" t="n">
        <v>1</v>
      </c>
      <c r="M464" s="35" t="n">
        <v>0</v>
      </c>
      <c r="N464" s="35" t="n">
        <v>1</v>
      </c>
      <c r="O464" s="35" t="n">
        <v>0</v>
      </c>
      <c r="P464" s="35" t="n">
        <v>0</v>
      </c>
      <c r="Q464" s="35" t="n">
        <v>0</v>
      </c>
      <c r="R464" s="35" t="n">
        <v>0</v>
      </c>
      <c r="S464" s="35" t="n">
        <v>0</v>
      </c>
      <c r="T464" s="35" t="n">
        <v>0</v>
      </c>
      <c r="U464" s="35" t="n">
        <v>0</v>
      </c>
      <c r="V464" s="35" t="n">
        <v>0</v>
      </c>
      <c r="W464" s="35" t="n">
        <v>0</v>
      </c>
      <c r="X464" s="35" t="n">
        <v>0</v>
      </c>
      <c r="Y464" s="35" t="n">
        <v>0</v>
      </c>
      <c r="Z464" s="35" t="n">
        <v>1</v>
      </c>
      <c r="AA464" s="35" t="n">
        <v>0</v>
      </c>
      <c r="AB464" s="35" t="n">
        <v>0</v>
      </c>
      <c r="AC464" s="33" t="s">
        <v>565</v>
      </c>
      <c r="AD464" s="36" t="n">
        <f aca="false">B464-B463</f>
        <v>0.125</v>
      </c>
    </row>
    <row r="465" customFormat="false" ht="15" hidden="false" customHeight="false" outlineLevel="0" collapsed="false">
      <c r="A465" s="30" t="n">
        <v>462</v>
      </c>
      <c r="B465" s="31" t="n">
        <f aca="false">Summary!$B$5+IF(D465=1,0,IF(C465=1,Summary!$B$6,NA()))+(MATCH(1,E465:L465,0)-1)*Summary!$B$7+(MATCH(1,M465:T465,0)-1)*Summary!$B$8+(MATCH(1,U465:AB465,0)-1)*Summary!$B$9</f>
        <v>87.75</v>
      </c>
      <c r="C465" s="32" t="n">
        <v>0</v>
      </c>
      <c r="D465" s="32" t="n">
        <v>1</v>
      </c>
      <c r="E465" s="32" t="n">
        <v>0</v>
      </c>
      <c r="F465" s="32" t="n">
        <v>0</v>
      </c>
      <c r="G465" s="32" t="n">
        <v>0</v>
      </c>
      <c r="H465" s="32" t="n">
        <v>0</v>
      </c>
      <c r="I465" s="32" t="n">
        <v>0</v>
      </c>
      <c r="J465" s="32" t="n">
        <v>0</v>
      </c>
      <c r="K465" s="32" t="n">
        <v>0</v>
      </c>
      <c r="L465" s="32" t="n">
        <v>1</v>
      </c>
      <c r="M465" s="32" t="n">
        <v>0</v>
      </c>
      <c r="N465" s="32" t="n">
        <v>1</v>
      </c>
      <c r="O465" s="32" t="n">
        <v>0</v>
      </c>
      <c r="P465" s="32" t="n">
        <v>0</v>
      </c>
      <c r="Q465" s="32" t="n">
        <v>0</v>
      </c>
      <c r="R465" s="32" t="n">
        <v>0</v>
      </c>
      <c r="S465" s="32" t="n">
        <v>0</v>
      </c>
      <c r="T465" s="32" t="n">
        <v>0</v>
      </c>
      <c r="U465" s="32" t="n">
        <v>0</v>
      </c>
      <c r="V465" s="32" t="n">
        <v>0</v>
      </c>
      <c r="W465" s="32" t="n">
        <v>0</v>
      </c>
      <c r="X465" s="32" t="n">
        <v>0</v>
      </c>
      <c r="Y465" s="32" t="n">
        <v>0</v>
      </c>
      <c r="Z465" s="32" t="n">
        <v>0</v>
      </c>
      <c r="AA465" s="32" t="n">
        <v>1</v>
      </c>
      <c r="AB465" s="32" t="n">
        <v>0</v>
      </c>
      <c r="AC465" s="30" t="s">
        <v>566</v>
      </c>
      <c r="AD465" s="37" t="n">
        <f aca="false">B465-B464</f>
        <v>0.125</v>
      </c>
    </row>
    <row r="466" customFormat="false" ht="15" hidden="false" customHeight="false" outlineLevel="0" collapsed="false">
      <c r="A466" s="33" t="n">
        <v>463</v>
      </c>
      <c r="B466" s="34" t="n">
        <f aca="false">Summary!$B$5+IF(D466=1,0,IF(C466=1,Summary!$B$6,NA()))+(MATCH(1,E466:L466,0)-1)*Summary!$B$7+(MATCH(1,M466:T466,0)-1)*Summary!$B$8+(MATCH(1,U466:AB466,0)-1)*Summary!$B$9</f>
        <v>87.875</v>
      </c>
      <c r="C466" s="35" t="n">
        <v>0</v>
      </c>
      <c r="D466" s="35" t="n">
        <v>1</v>
      </c>
      <c r="E466" s="35" t="n">
        <v>0</v>
      </c>
      <c r="F466" s="35" t="n">
        <v>0</v>
      </c>
      <c r="G466" s="35" t="n">
        <v>0</v>
      </c>
      <c r="H466" s="35" t="n">
        <v>0</v>
      </c>
      <c r="I466" s="35" t="n">
        <v>0</v>
      </c>
      <c r="J466" s="35" t="n">
        <v>0</v>
      </c>
      <c r="K466" s="35" t="n">
        <v>0</v>
      </c>
      <c r="L466" s="35" t="n">
        <v>1</v>
      </c>
      <c r="M466" s="35" t="n">
        <v>0</v>
      </c>
      <c r="N466" s="35" t="n">
        <v>1</v>
      </c>
      <c r="O466" s="35" t="n">
        <v>0</v>
      </c>
      <c r="P466" s="35" t="n">
        <v>0</v>
      </c>
      <c r="Q466" s="35" t="n">
        <v>0</v>
      </c>
      <c r="R466" s="35" t="n">
        <v>0</v>
      </c>
      <c r="S466" s="35" t="n">
        <v>0</v>
      </c>
      <c r="T466" s="35" t="n">
        <v>0</v>
      </c>
      <c r="U466" s="35" t="n">
        <v>0</v>
      </c>
      <c r="V466" s="35" t="n">
        <v>0</v>
      </c>
      <c r="W466" s="35" t="n">
        <v>0</v>
      </c>
      <c r="X466" s="35" t="n">
        <v>0</v>
      </c>
      <c r="Y466" s="35" t="n">
        <v>0</v>
      </c>
      <c r="Z466" s="35" t="n">
        <v>0</v>
      </c>
      <c r="AA466" s="35" t="n">
        <v>0</v>
      </c>
      <c r="AB466" s="35" t="n">
        <v>1</v>
      </c>
      <c r="AC466" s="33" t="s">
        <v>567</v>
      </c>
      <c r="AD466" s="36" t="n">
        <f aca="false">B466-B465</f>
        <v>0.125</v>
      </c>
    </row>
    <row r="467" customFormat="false" ht="15" hidden="false" customHeight="false" outlineLevel="0" collapsed="false">
      <c r="A467" s="30" t="n">
        <v>464</v>
      </c>
      <c r="B467" s="31" t="n">
        <f aca="false">Summary!$B$5+IF(D467=1,0,IF(C467=1,Summary!$B$6,NA()))+(MATCH(1,E467:L467,0)-1)*Summary!$B$7+(MATCH(1,M467:T467,0)-1)*Summary!$B$8+(MATCH(1,U467:AB467,0)-1)*Summary!$B$9</f>
        <v>88</v>
      </c>
      <c r="C467" s="32" t="n">
        <v>0</v>
      </c>
      <c r="D467" s="32" t="n">
        <v>1</v>
      </c>
      <c r="E467" s="32" t="n">
        <v>0</v>
      </c>
      <c r="F467" s="32" t="n">
        <v>0</v>
      </c>
      <c r="G467" s="32" t="n">
        <v>0</v>
      </c>
      <c r="H467" s="32" t="n">
        <v>0</v>
      </c>
      <c r="I467" s="32" t="n">
        <v>0</v>
      </c>
      <c r="J467" s="32" t="n">
        <v>0</v>
      </c>
      <c r="K467" s="32" t="n">
        <v>0</v>
      </c>
      <c r="L467" s="32" t="n">
        <v>1</v>
      </c>
      <c r="M467" s="32" t="n">
        <v>0</v>
      </c>
      <c r="N467" s="32" t="n">
        <v>0</v>
      </c>
      <c r="O467" s="32" t="n">
        <v>1</v>
      </c>
      <c r="P467" s="32" t="n">
        <v>0</v>
      </c>
      <c r="Q467" s="32" t="n">
        <v>0</v>
      </c>
      <c r="R467" s="32" t="n">
        <v>0</v>
      </c>
      <c r="S467" s="32" t="n">
        <v>0</v>
      </c>
      <c r="T467" s="32" t="n">
        <v>0</v>
      </c>
      <c r="U467" s="32" t="n">
        <v>1</v>
      </c>
      <c r="V467" s="32" t="n">
        <v>0</v>
      </c>
      <c r="W467" s="32" t="n">
        <v>0</v>
      </c>
      <c r="X467" s="32" t="n">
        <v>0</v>
      </c>
      <c r="Y467" s="32" t="n">
        <v>0</v>
      </c>
      <c r="Z467" s="32" t="n">
        <v>0</v>
      </c>
      <c r="AA467" s="32" t="n">
        <v>0</v>
      </c>
      <c r="AB467" s="32" t="n">
        <v>0</v>
      </c>
      <c r="AC467" s="30" t="s">
        <v>568</v>
      </c>
      <c r="AD467" s="37" t="n">
        <f aca="false">B467-B466</f>
        <v>0.125</v>
      </c>
    </row>
    <row r="468" customFormat="false" ht="15" hidden="false" customHeight="false" outlineLevel="0" collapsed="false">
      <c r="A468" s="33" t="n">
        <v>465</v>
      </c>
      <c r="B468" s="34" t="n">
        <f aca="false">Summary!$B$5+IF(D468=1,0,IF(C468=1,Summary!$B$6,NA()))+(MATCH(1,E468:L468,0)-1)*Summary!$B$7+(MATCH(1,M468:T468,0)-1)*Summary!$B$8+(MATCH(1,U468:AB468,0)-1)*Summary!$B$9</f>
        <v>88.125</v>
      </c>
      <c r="C468" s="35" t="n">
        <v>0</v>
      </c>
      <c r="D468" s="35" t="n">
        <v>1</v>
      </c>
      <c r="E468" s="35" t="n">
        <v>0</v>
      </c>
      <c r="F468" s="35" t="n">
        <v>0</v>
      </c>
      <c r="G468" s="35" t="n">
        <v>0</v>
      </c>
      <c r="H468" s="35" t="n">
        <v>0</v>
      </c>
      <c r="I468" s="35" t="n">
        <v>0</v>
      </c>
      <c r="J468" s="35" t="n">
        <v>0</v>
      </c>
      <c r="K468" s="35" t="n">
        <v>0</v>
      </c>
      <c r="L468" s="35" t="n">
        <v>1</v>
      </c>
      <c r="M468" s="35" t="n">
        <v>0</v>
      </c>
      <c r="N468" s="35" t="n">
        <v>0</v>
      </c>
      <c r="O468" s="35" t="n">
        <v>1</v>
      </c>
      <c r="P468" s="35" t="n">
        <v>0</v>
      </c>
      <c r="Q468" s="35" t="n">
        <v>0</v>
      </c>
      <c r="R468" s="35" t="n">
        <v>0</v>
      </c>
      <c r="S468" s="35" t="n">
        <v>0</v>
      </c>
      <c r="T468" s="35" t="n">
        <v>0</v>
      </c>
      <c r="U468" s="35" t="n">
        <v>0</v>
      </c>
      <c r="V468" s="35" t="n">
        <v>1</v>
      </c>
      <c r="W468" s="35" t="n">
        <v>0</v>
      </c>
      <c r="X468" s="35" t="n">
        <v>0</v>
      </c>
      <c r="Y468" s="35" t="n">
        <v>0</v>
      </c>
      <c r="Z468" s="35" t="n">
        <v>0</v>
      </c>
      <c r="AA468" s="35" t="n">
        <v>0</v>
      </c>
      <c r="AB468" s="35" t="n">
        <v>0</v>
      </c>
      <c r="AC468" s="33" t="s">
        <v>569</v>
      </c>
      <c r="AD468" s="36" t="n">
        <f aca="false">B468-B467</f>
        <v>0.125</v>
      </c>
    </row>
    <row r="469" customFormat="false" ht="15" hidden="false" customHeight="false" outlineLevel="0" collapsed="false">
      <c r="A469" s="30" t="n">
        <v>466</v>
      </c>
      <c r="B469" s="31" t="n">
        <f aca="false">Summary!$B$5+IF(D469=1,0,IF(C469=1,Summary!$B$6,NA()))+(MATCH(1,E469:L469,0)-1)*Summary!$B$7+(MATCH(1,M469:T469,0)-1)*Summary!$B$8+(MATCH(1,U469:AB469,0)-1)*Summary!$B$9</f>
        <v>88.25</v>
      </c>
      <c r="C469" s="32" t="n">
        <v>0</v>
      </c>
      <c r="D469" s="32" t="n">
        <v>1</v>
      </c>
      <c r="E469" s="32" t="n">
        <v>0</v>
      </c>
      <c r="F469" s="32" t="n">
        <v>0</v>
      </c>
      <c r="G469" s="32" t="n">
        <v>0</v>
      </c>
      <c r="H469" s="32" t="n">
        <v>0</v>
      </c>
      <c r="I469" s="32" t="n">
        <v>0</v>
      </c>
      <c r="J469" s="32" t="n">
        <v>0</v>
      </c>
      <c r="K469" s="32" t="n">
        <v>0</v>
      </c>
      <c r="L469" s="32" t="n">
        <v>1</v>
      </c>
      <c r="M469" s="32" t="n">
        <v>0</v>
      </c>
      <c r="N469" s="32" t="n">
        <v>0</v>
      </c>
      <c r="O469" s="32" t="n">
        <v>1</v>
      </c>
      <c r="P469" s="32" t="n">
        <v>0</v>
      </c>
      <c r="Q469" s="32" t="n">
        <v>0</v>
      </c>
      <c r="R469" s="32" t="n">
        <v>0</v>
      </c>
      <c r="S469" s="32" t="n">
        <v>0</v>
      </c>
      <c r="T469" s="32" t="n">
        <v>0</v>
      </c>
      <c r="U469" s="32" t="n">
        <v>0</v>
      </c>
      <c r="V469" s="32" t="n">
        <v>0</v>
      </c>
      <c r="W469" s="32" t="n">
        <v>1</v>
      </c>
      <c r="X469" s="32" t="n">
        <v>0</v>
      </c>
      <c r="Y469" s="32" t="n">
        <v>0</v>
      </c>
      <c r="Z469" s="32" t="n">
        <v>0</v>
      </c>
      <c r="AA469" s="32" t="n">
        <v>0</v>
      </c>
      <c r="AB469" s="32" t="n">
        <v>0</v>
      </c>
      <c r="AC469" s="30" t="s">
        <v>570</v>
      </c>
      <c r="AD469" s="37" t="n">
        <f aca="false">B469-B468</f>
        <v>0.125</v>
      </c>
    </row>
    <row r="470" customFormat="false" ht="15" hidden="false" customHeight="false" outlineLevel="0" collapsed="false">
      <c r="A470" s="33" t="n">
        <v>467</v>
      </c>
      <c r="B470" s="34" t="n">
        <f aca="false">Summary!$B$5+IF(D470=1,0,IF(C470=1,Summary!$B$6,NA()))+(MATCH(1,E470:L470,0)-1)*Summary!$B$7+(MATCH(1,M470:T470,0)-1)*Summary!$B$8+(MATCH(1,U470:AB470,0)-1)*Summary!$B$9</f>
        <v>88.375</v>
      </c>
      <c r="C470" s="35" t="n">
        <v>0</v>
      </c>
      <c r="D470" s="35" t="n">
        <v>1</v>
      </c>
      <c r="E470" s="35" t="n">
        <v>0</v>
      </c>
      <c r="F470" s="35" t="n">
        <v>0</v>
      </c>
      <c r="G470" s="35" t="n">
        <v>0</v>
      </c>
      <c r="H470" s="35" t="n">
        <v>0</v>
      </c>
      <c r="I470" s="35" t="n">
        <v>0</v>
      </c>
      <c r="J470" s="35" t="n">
        <v>0</v>
      </c>
      <c r="K470" s="35" t="n">
        <v>0</v>
      </c>
      <c r="L470" s="35" t="n">
        <v>1</v>
      </c>
      <c r="M470" s="35" t="n">
        <v>0</v>
      </c>
      <c r="N470" s="35" t="n">
        <v>0</v>
      </c>
      <c r="O470" s="35" t="n">
        <v>1</v>
      </c>
      <c r="P470" s="35" t="n">
        <v>0</v>
      </c>
      <c r="Q470" s="35" t="n">
        <v>0</v>
      </c>
      <c r="R470" s="35" t="n">
        <v>0</v>
      </c>
      <c r="S470" s="35" t="n">
        <v>0</v>
      </c>
      <c r="T470" s="35" t="n">
        <v>0</v>
      </c>
      <c r="U470" s="35" t="n">
        <v>0</v>
      </c>
      <c r="V470" s="35" t="n">
        <v>0</v>
      </c>
      <c r="W470" s="35" t="n">
        <v>0</v>
      </c>
      <c r="X470" s="35" t="n">
        <v>1</v>
      </c>
      <c r="Y470" s="35" t="n">
        <v>0</v>
      </c>
      <c r="Z470" s="35" t="n">
        <v>0</v>
      </c>
      <c r="AA470" s="35" t="n">
        <v>0</v>
      </c>
      <c r="AB470" s="35" t="n">
        <v>0</v>
      </c>
      <c r="AC470" s="33" t="s">
        <v>571</v>
      </c>
      <c r="AD470" s="36" t="n">
        <f aca="false">B470-B469</f>
        <v>0.125</v>
      </c>
    </row>
    <row r="471" customFormat="false" ht="15" hidden="false" customHeight="false" outlineLevel="0" collapsed="false">
      <c r="A471" s="30" t="n">
        <v>468</v>
      </c>
      <c r="B471" s="31" t="n">
        <f aca="false">Summary!$B$5+IF(D471=1,0,IF(C471=1,Summary!$B$6,NA()))+(MATCH(1,E471:L471,0)-1)*Summary!$B$7+(MATCH(1,M471:T471,0)-1)*Summary!$B$8+(MATCH(1,U471:AB471,0)-1)*Summary!$B$9</f>
        <v>88.5</v>
      </c>
      <c r="C471" s="32" t="n">
        <v>0</v>
      </c>
      <c r="D471" s="32" t="n">
        <v>1</v>
      </c>
      <c r="E471" s="32" t="n">
        <v>0</v>
      </c>
      <c r="F471" s="32" t="n">
        <v>0</v>
      </c>
      <c r="G471" s="32" t="n">
        <v>0</v>
      </c>
      <c r="H471" s="32" t="n">
        <v>0</v>
      </c>
      <c r="I471" s="32" t="n">
        <v>0</v>
      </c>
      <c r="J471" s="32" t="n">
        <v>0</v>
      </c>
      <c r="K471" s="32" t="n">
        <v>0</v>
      </c>
      <c r="L471" s="32" t="n">
        <v>1</v>
      </c>
      <c r="M471" s="32" t="n">
        <v>0</v>
      </c>
      <c r="N471" s="32" t="n">
        <v>0</v>
      </c>
      <c r="O471" s="32" t="n">
        <v>1</v>
      </c>
      <c r="P471" s="32" t="n">
        <v>0</v>
      </c>
      <c r="Q471" s="32" t="n">
        <v>0</v>
      </c>
      <c r="R471" s="32" t="n">
        <v>0</v>
      </c>
      <c r="S471" s="32" t="n">
        <v>0</v>
      </c>
      <c r="T471" s="32" t="n">
        <v>0</v>
      </c>
      <c r="U471" s="32" t="n">
        <v>0</v>
      </c>
      <c r="V471" s="32" t="n">
        <v>0</v>
      </c>
      <c r="W471" s="32" t="n">
        <v>0</v>
      </c>
      <c r="X471" s="32" t="n">
        <v>0</v>
      </c>
      <c r="Y471" s="32" t="n">
        <v>1</v>
      </c>
      <c r="Z471" s="32" t="n">
        <v>0</v>
      </c>
      <c r="AA471" s="32" t="n">
        <v>0</v>
      </c>
      <c r="AB471" s="32" t="n">
        <v>0</v>
      </c>
      <c r="AC471" s="30" t="s">
        <v>572</v>
      </c>
      <c r="AD471" s="37" t="n">
        <f aca="false">B471-B470</f>
        <v>0.125</v>
      </c>
    </row>
    <row r="472" customFormat="false" ht="15" hidden="false" customHeight="false" outlineLevel="0" collapsed="false">
      <c r="A472" s="33" t="n">
        <v>469</v>
      </c>
      <c r="B472" s="34" t="n">
        <f aca="false">Summary!$B$5+IF(D472=1,0,IF(C472=1,Summary!$B$6,NA()))+(MATCH(1,E472:L472,0)-1)*Summary!$B$7+(MATCH(1,M472:T472,0)-1)*Summary!$B$8+(MATCH(1,U472:AB472,0)-1)*Summary!$B$9</f>
        <v>88.625</v>
      </c>
      <c r="C472" s="35" t="n">
        <v>0</v>
      </c>
      <c r="D472" s="35" t="n">
        <v>1</v>
      </c>
      <c r="E472" s="35" t="n">
        <v>0</v>
      </c>
      <c r="F472" s="35" t="n">
        <v>0</v>
      </c>
      <c r="G472" s="35" t="n">
        <v>0</v>
      </c>
      <c r="H472" s="35" t="n">
        <v>0</v>
      </c>
      <c r="I472" s="35" t="n">
        <v>0</v>
      </c>
      <c r="J472" s="35" t="n">
        <v>0</v>
      </c>
      <c r="K472" s="35" t="n">
        <v>0</v>
      </c>
      <c r="L472" s="35" t="n">
        <v>1</v>
      </c>
      <c r="M472" s="35" t="n">
        <v>0</v>
      </c>
      <c r="N472" s="35" t="n">
        <v>0</v>
      </c>
      <c r="O472" s="35" t="n">
        <v>1</v>
      </c>
      <c r="P472" s="35" t="n">
        <v>0</v>
      </c>
      <c r="Q472" s="35" t="n">
        <v>0</v>
      </c>
      <c r="R472" s="35" t="n">
        <v>0</v>
      </c>
      <c r="S472" s="35" t="n">
        <v>0</v>
      </c>
      <c r="T472" s="35" t="n">
        <v>0</v>
      </c>
      <c r="U472" s="35" t="n">
        <v>0</v>
      </c>
      <c r="V472" s="35" t="n">
        <v>0</v>
      </c>
      <c r="W472" s="35" t="n">
        <v>0</v>
      </c>
      <c r="X472" s="35" t="n">
        <v>0</v>
      </c>
      <c r="Y472" s="35" t="n">
        <v>0</v>
      </c>
      <c r="Z472" s="35" t="n">
        <v>1</v>
      </c>
      <c r="AA472" s="35" t="n">
        <v>0</v>
      </c>
      <c r="AB472" s="35" t="n">
        <v>0</v>
      </c>
      <c r="AC472" s="33" t="s">
        <v>573</v>
      </c>
      <c r="AD472" s="36" t="n">
        <f aca="false">B472-B471</f>
        <v>0.125</v>
      </c>
    </row>
    <row r="473" customFormat="false" ht="15" hidden="false" customHeight="false" outlineLevel="0" collapsed="false">
      <c r="A473" s="30" t="n">
        <v>470</v>
      </c>
      <c r="B473" s="31" t="n">
        <f aca="false">Summary!$B$5+IF(D473=1,0,IF(C473=1,Summary!$B$6,NA()))+(MATCH(1,E473:L473,0)-1)*Summary!$B$7+(MATCH(1,M473:T473,0)-1)*Summary!$B$8+(MATCH(1,U473:AB473,0)-1)*Summary!$B$9</f>
        <v>88.75</v>
      </c>
      <c r="C473" s="32" t="n">
        <v>0</v>
      </c>
      <c r="D473" s="32" t="n">
        <v>1</v>
      </c>
      <c r="E473" s="32" t="n">
        <v>0</v>
      </c>
      <c r="F473" s="32" t="n">
        <v>0</v>
      </c>
      <c r="G473" s="32" t="n">
        <v>0</v>
      </c>
      <c r="H473" s="32" t="n">
        <v>0</v>
      </c>
      <c r="I473" s="32" t="n">
        <v>0</v>
      </c>
      <c r="J473" s="32" t="n">
        <v>0</v>
      </c>
      <c r="K473" s="32" t="n">
        <v>0</v>
      </c>
      <c r="L473" s="32" t="n">
        <v>1</v>
      </c>
      <c r="M473" s="32" t="n">
        <v>0</v>
      </c>
      <c r="N473" s="32" t="n">
        <v>0</v>
      </c>
      <c r="O473" s="32" t="n">
        <v>1</v>
      </c>
      <c r="P473" s="32" t="n">
        <v>0</v>
      </c>
      <c r="Q473" s="32" t="n">
        <v>0</v>
      </c>
      <c r="R473" s="32" t="n">
        <v>0</v>
      </c>
      <c r="S473" s="32" t="n">
        <v>0</v>
      </c>
      <c r="T473" s="32" t="n">
        <v>0</v>
      </c>
      <c r="U473" s="32" t="n">
        <v>0</v>
      </c>
      <c r="V473" s="32" t="n">
        <v>0</v>
      </c>
      <c r="W473" s="32" t="n">
        <v>0</v>
      </c>
      <c r="X473" s="32" t="n">
        <v>0</v>
      </c>
      <c r="Y473" s="32" t="n">
        <v>0</v>
      </c>
      <c r="Z473" s="32" t="n">
        <v>0</v>
      </c>
      <c r="AA473" s="32" t="n">
        <v>1</v>
      </c>
      <c r="AB473" s="32" t="n">
        <v>0</v>
      </c>
      <c r="AC473" s="30" t="s">
        <v>574</v>
      </c>
      <c r="AD473" s="37" t="n">
        <f aca="false">B473-B472</f>
        <v>0.125</v>
      </c>
    </row>
    <row r="474" customFormat="false" ht="15" hidden="false" customHeight="false" outlineLevel="0" collapsed="false">
      <c r="A474" s="33" t="n">
        <v>471</v>
      </c>
      <c r="B474" s="34" t="n">
        <f aca="false">Summary!$B$5+IF(D474=1,0,IF(C474=1,Summary!$B$6,NA()))+(MATCH(1,E474:L474,0)-1)*Summary!$B$7+(MATCH(1,M474:T474,0)-1)*Summary!$B$8+(MATCH(1,U474:AB474,0)-1)*Summary!$B$9</f>
        <v>88.875</v>
      </c>
      <c r="C474" s="35" t="n">
        <v>0</v>
      </c>
      <c r="D474" s="35" t="n">
        <v>1</v>
      </c>
      <c r="E474" s="35" t="n">
        <v>0</v>
      </c>
      <c r="F474" s="35" t="n">
        <v>0</v>
      </c>
      <c r="G474" s="35" t="n">
        <v>0</v>
      </c>
      <c r="H474" s="35" t="n">
        <v>0</v>
      </c>
      <c r="I474" s="35" t="n">
        <v>0</v>
      </c>
      <c r="J474" s="35" t="n">
        <v>0</v>
      </c>
      <c r="K474" s="35" t="n">
        <v>0</v>
      </c>
      <c r="L474" s="35" t="n">
        <v>1</v>
      </c>
      <c r="M474" s="35" t="n">
        <v>0</v>
      </c>
      <c r="N474" s="35" t="n">
        <v>0</v>
      </c>
      <c r="O474" s="35" t="n">
        <v>1</v>
      </c>
      <c r="P474" s="35" t="n">
        <v>0</v>
      </c>
      <c r="Q474" s="35" t="n">
        <v>0</v>
      </c>
      <c r="R474" s="35" t="n">
        <v>0</v>
      </c>
      <c r="S474" s="35" t="n">
        <v>0</v>
      </c>
      <c r="T474" s="35" t="n">
        <v>0</v>
      </c>
      <c r="U474" s="35" t="n">
        <v>0</v>
      </c>
      <c r="V474" s="35" t="n">
        <v>0</v>
      </c>
      <c r="W474" s="35" t="n">
        <v>0</v>
      </c>
      <c r="X474" s="35" t="n">
        <v>0</v>
      </c>
      <c r="Y474" s="35" t="n">
        <v>0</v>
      </c>
      <c r="Z474" s="35" t="n">
        <v>0</v>
      </c>
      <c r="AA474" s="35" t="n">
        <v>0</v>
      </c>
      <c r="AB474" s="35" t="n">
        <v>1</v>
      </c>
      <c r="AC474" s="33" t="s">
        <v>575</v>
      </c>
      <c r="AD474" s="36" t="n">
        <f aca="false">B474-B473</f>
        <v>0.125</v>
      </c>
    </row>
    <row r="475" customFormat="false" ht="15" hidden="false" customHeight="false" outlineLevel="0" collapsed="false">
      <c r="A475" s="30" t="n">
        <v>472</v>
      </c>
      <c r="B475" s="31" t="n">
        <f aca="false">Summary!$B$5+IF(D475=1,0,IF(C475=1,Summary!$B$6,NA()))+(MATCH(1,E475:L475,0)-1)*Summary!$B$7+(MATCH(1,M475:T475,0)-1)*Summary!$B$8+(MATCH(1,U475:AB475,0)-1)*Summary!$B$9</f>
        <v>89</v>
      </c>
      <c r="C475" s="32" t="n">
        <v>0</v>
      </c>
      <c r="D475" s="32" t="n">
        <v>1</v>
      </c>
      <c r="E475" s="32" t="n">
        <v>0</v>
      </c>
      <c r="F475" s="32" t="n">
        <v>0</v>
      </c>
      <c r="G475" s="32" t="n">
        <v>0</v>
      </c>
      <c r="H475" s="32" t="n">
        <v>0</v>
      </c>
      <c r="I475" s="32" t="n">
        <v>0</v>
      </c>
      <c r="J475" s="32" t="n">
        <v>0</v>
      </c>
      <c r="K475" s="32" t="n">
        <v>0</v>
      </c>
      <c r="L475" s="32" t="n">
        <v>1</v>
      </c>
      <c r="M475" s="32" t="n">
        <v>0</v>
      </c>
      <c r="N475" s="32" t="n">
        <v>0</v>
      </c>
      <c r="O475" s="32" t="n">
        <v>0</v>
      </c>
      <c r="P475" s="32" t="n">
        <v>1</v>
      </c>
      <c r="Q475" s="32" t="n">
        <v>0</v>
      </c>
      <c r="R475" s="32" t="n">
        <v>0</v>
      </c>
      <c r="S475" s="32" t="n">
        <v>0</v>
      </c>
      <c r="T475" s="32" t="n">
        <v>0</v>
      </c>
      <c r="U475" s="32" t="n">
        <v>1</v>
      </c>
      <c r="V475" s="32" t="n">
        <v>0</v>
      </c>
      <c r="W475" s="32" t="n">
        <v>0</v>
      </c>
      <c r="X475" s="32" t="n">
        <v>0</v>
      </c>
      <c r="Y475" s="32" t="n">
        <v>0</v>
      </c>
      <c r="Z475" s="32" t="n">
        <v>0</v>
      </c>
      <c r="AA475" s="32" t="n">
        <v>0</v>
      </c>
      <c r="AB475" s="32" t="n">
        <v>0</v>
      </c>
      <c r="AC475" s="30" t="s">
        <v>576</v>
      </c>
      <c r="AD475" s="37" t="n">
        <f aca="false">B475-B474</f>
        <v>0.125</v>
      </c>
    </row>
    <row r="476" customFormat="false" ht="15" hidden="false" customHeight="false" outlineLevel="0" collapsed="false">
      <c r="A476" s="33" t="n">
        <v>473</v>
      </c>
      <c r="B476" s="34" t="n">
        <f aca="false">Summary!$B$5+IF(D476=1,0,IF(C476=1,Summary!$B$6,NA()))+(MATCH(1,E476:L476,0)-1)*Summary!$B$7+(MATCH(1,M476:T476,0)-1)*Summary!$B$8+(MATCH(1,U476:AB476,0)-1)*Summary!$B$9</f>
        <v>89.125</v>
      </c>
      <c r="C476" s="35" t="n">
        <v>0</v>
      </c>
      <c r="D476" s="35" t="n">
        <v>1</v>
      </c>
      <c r="E476" s="35" t="n">
        <v>0</v>
      </c>
      <c r="F476" s="35" t="n">
        <v>0</v>
      </c>
      <c r="G476" s="35" t="n">
        <v>0</v>
      </c>
      <c r="H476" s="35" t="n">
        <v>0</v>
      </c>
      <c r="I476" s="35" t="n">
        <v>0</v>
      </c>
      <c r="J476" s="35" t="n">
        <v>0</v>
      </c>
      <c r="K476" s="35" t="n">
        <v>0</v>
      </c>
      <c r="L476" s="35" t="n">
        <v>1</v>
      </c>
      <c r="M476" s="35" t="n">
        <v>0</v>
      </c>
      <c r="N476" s="35" t="n">
        <v>0</v>
      </c>
      <c r="O476" s="35" t="n">
        <v>0</v>
      </c>
      <c r="P476" s="35" t="n">
        <v>1</v>
      </c>
      <c r="Q476" s="35" t="n">
        <v>0</v>
      </c>
      <c r="R476" s="35" t="n">
        <v>0</v>
      </c>
      <c r="S476" s="35" t="n">
        <v>0</v>
      </c>
      <c r="T476" s="35" t="n">
        <v>0</v>
      </c>
      <c r="U476" s="35" t="n">
        <v>0</v>
      </c>
      <c r="V476" s="35" t="n">
        <v>1</v>
      </c>
      <c r="W476" s="35" t="n">
        <v>0</v>
      </c>
      <c r="X476" s="35" t="n">
        <v>0</v>
      </c>
      <c r="Y476" s="35" t="n">
        <v>0</v>
      </c>
      <c r="Z476" s="35" t="n">
        <v>0</v>
      </c>
      <c r="AA476" s="35" t="n">
        <v>0</v>
      </c>
      <c r="AB476" s="35" t="n">
        <v>0</v>
      </c>
      <c r="AC476" s="33" t="s">
        <v>577</v>
      </c>
      <c r="AD476" s="36" t="n">
        <f aca="false">B476-B475</f>
        <v>0.125</v>
      </c>
    </row>
    <row r="477" customFormat="false" ht="15" hidden="false" customHeight="false" outlineLevel="0" collapsed="false">
      <c r="A477" s="30" t="n">
        <v>474</v>
      </c>
      <c r="B477" s="31" t="n">
        <f aca="false">Summary!$B$5+IF(D477=1,0,IF(C477=1,Summary!$B$6,NA()))+(MATCH(1,E477:L477,0)-1)*Summary!$B$7+(MATCH(1,M477:T477,0)-1)*Summary!$B$8+(MATCH(1,U477:AB477,0)-1)*Summary!$B$9</f>
        <v>89.25</v>
      </c>
      <c r="C477" s="32" t="n">
        <v>0</v>
      </c>
      <c r="D477" s="32" t="n">
        <v>1</v>
      </c>
      <c r="E477" s="32" t="n">
        <v>0</v>
      </c>
      <c r="F477" s="32" t="n">
        <v>0</v>
      </c>
      <c r="G477" s="32" t="n">
        <v>0</v>
      </c>
      <c r="H477" s="32" t="n">
        <v>0</v>
      </c>
      <c r="I477" s="32" t="n">
        <v>0</v>
      </c>
      <c r="J477" s="32" t="n">
        <v>0</v>
      </c>
      <c r="K477" s="32" t="n">
        <v>0</v>
      </c>
      <c r="L477" s="32" t="n">
        <v>1</v>
      </c>
      <c r="M477" s="32" t="n">
        <v>0</v>
      </c>
      <c r="N477" s="32" t="n">
        <v>0</v>
      </c>
      <c r="O477" s="32" t="n">
        <v>0</v>
      </c>
      <c r="P477" s="32" t="n">
        <v>1</v>
      </c>
      <c r="Q477" s="32" t="n">
        <v>0</v>
      </c>
      <c r="R477" s="32" t="n">
        <v>0</v>
      </c>
      <c r="S477" s="32" t="n">
        <v>0</v>
      </c>
      <c r="T477" s="32" t="n">
        <v>0</v>
      </c>
      <c r="U477" s="32" t="n">
        <v>0</v>
      </c>
      <c r="V477" s="32" t="n">
        <v>0</v>
      </c>
      <c r="W477" s="32" t="n">
        <v>1</v>
      </c>
      <c r="X477" s="32" t="n">
        <v>0</v>
      </c>
      <c r="Y477" s="32" t="n">
        <v>0</v>
      </c>
      <c r="Z477" s="32" t="n">
        <v>0</v>
      </c>
      <c r="AA477" s="32" t="n">
        <v>0</v>
      </c>
      <c r="AB477" s="32" t="n">
        <v>0</v>
      </c>
      <c r="AC477" s="30" t="s">
        <v>578</v>
      </c>
      <c r="AD477" s="37" t="n">
        <f aca="false">B477-B476</f>
        <v>0.125</v>
      </c>
    </row>
    <row r="478" customFormat="false" ht="15" hidden="false" customHeight="false" outlineLevel="0" collapsed="false">
      <c r="A478" s="33" t="n">
        <v>475</v>
      </c>
      <c r="B478" s="34" t="n">
        <f aca="false">Summary!$B$5+IF(D478=1,0,IF(C478=1,Summary!$B$6,NA()))+(MATCH(1,E478:L478,0)-1)*Summary!$B$7+(MATCH(1,M478:T478,0)-1)*Summary!$B$8+(MATCH(1,U478:AB478,0)-1)*Summary!$B$9</f>
        <v>89.375</v>
      </c>
      <c r="C478" s="35" t="n">
        <v>0</v>
      </c>
      <c r="D478" s="35" t="n">
        <v>1</v>
      </c>
      <c r="E478" s="35" t="n">
        <v>0</v>
      </c>
      <c r="F478" s="35" t="n">
        <v>0</v>
      </c>
      <c r="G478" s="35" t="n">
        <v>0</v>
      </c>
      <c r="H478" s="35" t="n">
        <v>0</v>
      </c>
      <c r="I478" s="35" t="n">
        <v>0</v>
      </c>
      <c r="J478" s="35" t="n">
        <v>0</v>
      </c>
      <c r="K478" s="35" t="n">
        <v>0</v>
      </c>
      <c r="L478" s="35" t="n">
        <v>1</v>
      </c>
      <c r="M478" s="35" t="n">
        <v>0</v>
      </c>
      <c r="N478" s="35" t="n">
        <v>0</v>
      </c>
      <c r="O478" s="35" t="n">
        <v>0</v>
      </c>
      <c r="P478" s="35" t="n">
        <v>1</v>
      </c>
      <c r="Q478" s="35" t="n">
        <v>0</v>
      </c>
      <c r="R478" s="35" t="n">
        <v>0</v>
      </c>
      <c r="S478" s="35" t="n">
        <v>0</v>
      </c>
      <c r="T478" s="35" t="n">
        <v>0</v>
      </c>
      <c r="U478" s="35" t="n">
        <v>0</v>
      </c>
      <c r="V478" s="35" t="n">
        <v>0</v>
      </c>
      <c r="W478" s="35" t="n">
        <v>0</v>
      </c>
      <c r="X478" s="35" t="n">
        <v>1</v>
      </c>
      <c r="Y478" s="35" t="n">
        <v>0</v>
      </c>
      <c r="Z478" s="35" t="n">
        <v>0</v>
      </c>
      <c r="AA478" s="35" t="n">
        <v>0</v>
      </c>
      <c r="AB478" s="35" t="n">
        <v>0</v>
      </c>
      <c r="AC478" s="33" t="s">
        <v>579</v>
      </c>
      <c r="AD478" s="36" t="n">
        <f aca="false">B478-B477</f>
        <v>0.125</v>
      </c>
    </row>
    <row r="479" customFormat="false" ht="15" hidden="false" customHeight="false" outlineLevel="0" collapsed="false">
      <c r="A479" s="30" t="n">
        <v>476</v>
      </c>
      <c r="B479" s="31" t="n">
        <f aca="false">Summary!$B$5+IF(D479=1,0,IF(C479=1,Summary!$B$6,NA()))+(MATCH(1,E479:L479,0)-1)*Summary!$B$7+(MATCH(1,M479:T479,0)-1)*Summary!$B$8+(MATCH(1,U479:AB479,0)-1)*Summary!$B$9</f>
        <v>89.5</v>
      </c>
      <c r="C479" s="32" t="n">
        <v>0</v>
      </c>
      <c r="D479" s="32" t="n">
        <v>1</v>
      </c>
      <c r="E479" s="32" t="n">
        <v>0</v>
      </c>
      <c r="F479" s="32" t="n">
        <v>0</v>
      </c>
      <c r="G479" s="32" t="n">
        <v>0</v>
      </c>
      <c r="H479" s="32" t="n">
        <v>0</v>
      </c>
      <c r="I479" s="32" t="n">
        <v>0</v>
      </c>
      <c r="J479" s="32" t="n">
        <v>0</v>
      </c>
      <c r="K479" s="32" t="n">
        <v>0</v>
      </c>
      <c r="L479" s="32" t="n">
        <v>1</v>
      </c>
      <c r="M479" s="32" t="n">
        <v>0</v>
      </c>
      <c r="N479" s="32" t="n">
        <v>0</v>
      </c>
      <c r="O479" s="32" t="n">
        <v>0</v>
      </c>
      <c r="P479" s="32" t="n">
        <v>1</v>
      </c>
      <c r="Q479" s="32" t="n">
        <v>0</v>
      </c>
      <c r="R479" s="32" t="n">
        <v>0</v>
      </c>
      <c r="S479" s="32" t="n">
        <v>0</v>
      </c>
      <c r="T479" s="32" t="n">
        <v>0</v>
      </c>
      <c r="U479" s="32" t="n">
        <v>0</v>
      </c>
      <c r="V479" s="32" t="n">
        <v>0</v>
      </c>
      <c r="W479" s="32" t="n">
        <v>0</v>
      </c>
      <c r="X479" s="32" t="n">
        <v>0</v>
      </c>
      <c r="Y479" s="32" t="n">
        <v>1</v>
      </c>
      <c r="Z479" s="32" t="n">
        <v>0</v>
      </c>
      <c r="AA479" s="32" t="n">
        <v>0</v>
      </c>
      <c r="AB479" s="32" t="n">
        <v>0</v>
      </c>
      <c r="AC479" s="30" t="s">
        <v>580</v>
      </c>
      <c r="AD479" s="37" t="n">
        <f aca="false">B479-B478</f>
        <v>0.125</v>
      </c>
    </row>
    <row r="480" customFormat="false" ht="15" hidden="false" customHeight="false" outlineLevel="0" collapsed="false">
      <c r="A480" s="33" t="n">
        <v>477</v>
      </c>
      <c r="B480" s="34" t="n">
        <f aca="false">Summary!$B$5+IF(D480=1,0,IF(C480=1,Summary!$B$6,NA()))+(MATCH(1,E480:L480,0)-1)*Summary!$B$7+(MATCH(1,M480:T480,0)-1)*Summary!$B$8+(MATCH(1,U480:AB480,0)-1)*Summary!$B$9</f>
        <v>89.625</v>
      </c>
      <c r="C480" s="35" t="n">
        <v>0</v>
      </c>
      <c r="D480" s="35" t="n">
        <v>1</v>
      </c>
      <c r="E480" s="35" t="n">
        <v>0</v>
      </c>
      <c r="F480" s="35" t="n">
        <v>0</v>
      </c>
      <c r="G480" s="35" t="n">
        <v>0</v>
      </c>
      <c r="H480" s="35" t="n">
        <v>0</v>
      </c>
      <c r="I480" s="35" t="n">
        <v>0</v>
      </c>
      <c r="J480" s="35" t="n">
        <v>0</v>
      </c>
      <c r="K480" s="35" t="n">
        <v>0</v>
      </c>
      <c r="L480" s="35" t="n">
        <v>1</v>
      </c>
      <c r="M480" s="35" t="n">
        <v>0</v>
      </c>
      <c r="N480" s="35" t="n">
        <v>0</v>
      </c>
      <c r="O480" s="35" t="n">
        <v>0</v>
      </c>
      <c r="P480" s="35" t="n">
        <v>1</v>
      </c>
      <c r="Q480" s="35" t="n">
        <v>0</v>
      </c>
      <c r="R480" s="35" t="n">
        <v>0</v>
      </c>
      <c r="S480" s="35" t="n">
        <v>0</v>
      </c>
      <c r="T480" s="35" t="n">
        <v>0</v>
      </c>
      <c r="U480" s="35" t="n">
        <v>0</v>
      </c>
      <c r="V480" s="35" t="n">
        <v>0</v>
      </c>
      <c r="W480" s="35" t="n">
        <v>0</v>
      </c>
      <c r="X480" s="35" t="n">
        <v>0</v>
      </c>
      <c r="Y480" s="35" t="n">
        <v>0</v>
      </c>
      <c r="Z480" s="35" t="n">
        <v>1</v>
      </c>
      <c r="AA480" s="35" t="n">
        <v>0</v>
      </c>
      <c r="AB480" s="35" t="n">
        <v>0</v>
      </c>
      <c r="AC480" s="33" t="s">
        <v>581</v>
      </c>
      <c r="AD480" s="36" t="n">
        <f aca="false">B480-B479</f>
        <v>0.125</v>
      </c>
    </row>
    <row r="481" customFormat="false" ht="15" hidden="false" customHeight="false" outlineLevel="0" collapsed="false">
      <c r="A481" s="30" t="n">
        <v>478</v>
      </c>
      <c r="B481" s="31" t="n">
        <f aca="false">Summary!$B$5+IF(D481=1,0,IF(C481=1,Summary!$B$6,NA()))+(MATCH(1,E481:L481,0)-1)*Summary!$B$7+(MATCH(1,M481:T481,0)-1)*Summary!$B$8+(MATCH(1,U481:AB481,0)-1)*Summary!$B$9</f>
        <v>89.75</v>
      </c>
      <c r="C481" s="32" t="n">
        <v>0</v>
      </c>
      <c r="D481" s="32" t="n">
        <v>1</v>
      </c>
      <c r="E481" s="32" t="n">
        <v>0</v>
      </c>
      <c r="F481" s="32" t="n">
        <v>0</v>
      </c>
      <c r="G481" s="32" t="n">
        <v>0</v>
      </c>
      <c r="H481" s="32" t="n">
        <v>0</v>
      </c>
      <c r="I481" s="32" t="n">
        <v>0</v>
      </c>
      <c r="J481" s="32" t="n">
        <v>0</v>
      </c>
      <c r="K481" s="32" t="n">
        <v>0</v>
      </c>
      <c r="L481" s="32" t="n">
        <v>1</v>
      </c>
      <c r="M481" s="32" t="n">
        <v>0</v>
      </c>
      <c r="N481" s="32" t="n">
        <v>0</v>
      </c>
      <c r="O481" s="32" t="n">
        <v>0</v>
      </c>
      <c r="P481" s="32" t="n">
        <v>1</v>
      </c>
      <c r="Q481" s="32" t="n">
        <v>0</v>
      </c>
      <c r="R481" s="32" t="n">
        <v>0</v>
      </c>
      <c r="S481" s="32" t="n">
        <v>0</v>
      </c>
      <c r="T481" s="32" t="n">
        <v>0</v>
      </c>
      <c r="U481" s="32" t="n">
        <v>0</v>
      </c>
      <c r="V481" s="32" t="n">
        <v>0</v>
      </c>
      <c r="W481" s="32" t="n">
        <v>0</v>
      </c>
      <c r="X481" s="32" t="n">
        <v>0</v>
      </c>
      <c r="Y481" s="32" t="n">
        <v>0</v>
      </c>
      <c r="Z481" s="32" t="n">
        <v>0</v>
      </c>
      <c r="AA481" s="32" t="n">
        <v>1</v>
      </c>
      <c r="AB481" s="32" t="n">
        <v>0</v>
      </c>
      <c r="AC481" s="30" t="s">
        <v>582</v>
      </c>
      <c r="AD481" s="37" t="n">
        <f aca="false">B481-B480</f>
        <v>0.125</v>
      </c>
    </row>
    <row r="482" customFormat="false" ht="15" hidden="false" customHeight="false" outlineLevel="0" collapsed="false">
      <c r="A482" s="33" t="n">
        <v>479</v>
      </c>
      <c r="B482" s="34" t="n">
        <f aca="false">Summary!$B$5+IF(D482=1,0,IF(C482=1,Summary!$B$6,NA()))+(MATCH(1,E482:L482,0)-1)*Summary!$B$7+(MATCH(1,M482:T482,0)-1)*Summary!$B$8+(MATCH(1,U482:AB482,0)-1)*Summary!$B$9</f>
        <v>89.875</v>
      </c>
      <c r="C482" s="35" t="n">
        <v>0</v>
      </c>
      <c r="D482" s="35" t="n">
        <v>1</v>
      </c>
      <c r="E482" s="35" t="n">
        <v>0</v>
      </c>
      <c r="F482" s="35" t="n">
        <v>0</v>
      </c>
      <c r="G482" s="35" t="n">
        <v>0</v>
      </c>
      <c r="H482" s="35" t="n">
        <v>0</v>
      </c>
      <c r="I482" s="35" t="n">
        <v>0</v>
      </c>
      <c r="J482" s="35" t="n">
        <v>0</v>
      </c>
      <c r="K482" s="35" t="n">
        <v>0</v>
      </c>
      <c r="L482" s="35" t="n">
        <v>1</v>
      </c>
      <c r="M482" s="35" t="n">
        <v>0</v>
      </c>
      <c r="N482" s="35" t="n">
        <v>0</v>
      </c>
      <c r="O482" s="35" t="n">
        <v>0</v>
      </c>
      <c r="P482" s="35" t="n">
        <v>1</v>
      </c>
      <c r="Q482" s="35" t="n">
        <v>0</v>
      </c>
      <c r="R482" s="35" t="n">
        <v>0</v>
      </c>
      <c r="S482" s="35" t="n">
        <v>0</v>
      </c>
      <c r="T482" s="35" t="n">
        <v>0</v>
      </c>
      <c r="U482" s="35" t="n">
        <v>0</v>
      </c>
      <c r="V482" s="35" t="n">
        <v>0</v>
      </c>
      <c r="W482" s="35" t="n">
        <v>0</v>
      </c>
      <c r="X482" s="35" t="n">
        <v>0</v>
      </c>
      <c r="Y482" s="35" t="n">
        <v>0</v>
      </c>
      <c r="Z482" s="35" t="n">
        <v>0</v>
      </c>
      <c r="AA482" s="35" t="n">
        <v>0</v>
      </c>
      <c r="AB482" s="35" t="n">
        <v>1</v>
      </c>
      <c r="AC482" s="33" t="s">
        <v>583</v>
      </c>
      <c r="AD482" s="36" t="n">
        <f aca="false">B482-B481</f>
        <v>0.125</v>
      </c>
    </row>
    <row r="483" customFormat="false" ht="15" hidden="false" customHeight="false" outlineLevel="0" collapsed="false">
      <c r="A483" s="30" t="n">
        <v>480</v>
      </c>
      <c r="B483" s="31" t="n">
        <f aca="false">Summary!$B$5+IF(D483=1,0,IF(C483=1,Summary!$B$6,NA()))+(MATCH(1,E483:L483,0)-1)*Summary!$B$7+(MATCH(1,M483:T483,0)-1)*Summary!$B$8+(MATCH(1,U483:AB483,0)-1)*Summary!$B$9</f>
        <v>90</v>
      </c>
      <c r="C483" s="32" t="n">
        <v>0</v>
      </c>
      <c r="D483" s="32" t="n">
        <v>1</v>
      </c>
      <c r="E483" s="32" t="n">
        <v>0</v>
      </c>
      <c r="F483" s="32" t="n">
        <v>0</v>
      </c>
      <c r="G483" s="32" t="n">
        <v>0</v>
      </c>
      <c r="H483" s="32" t="n">
        <v>0</v>
      </c>
      <c r="I483" s="32" t="n">
        <v>0</v>
      </c>
      <c r="J483" s="32" t="n">
        <v>0</v>
      </c>
      <c r="K483" s="32" t="n">
        <v>0</v>
      </c>
      <c r="L483" s="32" t="n">
        <v>1</v>
      </c>
      <c r="M483" s="32" t="n">
        <v>0</v>
      </c>
      <c r="N483" s="32" t="n">
        <v>0</v>
      </c>
      <c r="O483" s="32" t="n">
        <v>0</v>
      </c>
      <c r="P483" s="32" t="n">
        <v>0</v>
      </c>
      <c r="Q483" s="32" t="n">
        <v>1</v>
      </c>
      <c r="R483" s="32" t="n">
        <v>0</v>
      </c>
      <c r="S483" s="32" t="n">
        <v>0</v>
      </c>
      <c r="T483" s="32" t="n">
        <v>0</v>
      </c>
      <c r="U483" s="32" t="n">
        <v>1</v>
      </c>
      <c r="V483" s="32" t="n">
        <v>0</v>
      </c>
      <c r="W483" s="32" t="n">
        <v>0</v>
      </c>
      <c r="X483" s="32" t="n">
        <v>0</v>
      </c>
      <c r="Y483" s="32" t="n">
        <v>0</v>
      </c>
      <c r="Z483" s="32" t="n">
        <v>0</v>
      </c>
      <c r="AA483" s="32" t="n">
        <v>0</v>
      </c>
      <c r="AB483" s="32" t="n">
        <v>0</v>
      </c>
      <c r="AC483" s="30" t="s">
        <v>584</v>
      </c>
      <c r="AD483" s="37" t="n">
        <f aca="false">B483-B482</f>
        <v>0.125</v>
      </c>
    </row>
    <row r="484" customFormat="false" ht="15" hidden="false" customHeight="false" outlineLevel="0" collapsed="false">
      <c r="A484" s="33" t="n">
        <v>481</v>
      </c>
      <c r="B484" s="34" t="n">
        <f aca="false">Summary!$B$5+IF(D484=1,0,IF(C484=1,Summary!$B$6,NA()))+(MATCH(1,E484:L484,0)-1)*Summary!$B$7+(MATCH(1,M484:T484,0)-1)*Summary!$B$8+(MATCH(1,U484:AB484,0)-1)*Summary!$B$9</f>
        <v>90.125</v>
      </c>
      <c r="C484" s="35" t="n">
        <v>0</v>
      </c>
      <c r="D484" s="35" t="n">
        <v>1</v>
      </c>
      <c r="E484" s="35" t="n">
        <v>0</v>
      </c>
      <c r="F484" s="35" t="n">
        <v>0</v>
      </c>
      <c r="G484" s="35" t="n">
        <v>0</v>
      </c>
      <c r="H484" s="35" t="n">
        <v>0</v>
      </c>
      <c r="I484" s="35" t="n">
        <v>0</v>
      </c>
      <c r="J484" s="35" t="n">
        <v>0</v>
      </c>
      <c r="K484" s="35" t="n">
        <v>0</v>
      </c>
      <c r="L484" s="35" t="n">
        <v>1</v>
      </c>
      <c r="M484" s="35" t="n">
        <v>0</v>
      </c>
      <c r="N484" s="35" t="n">
        <v>0</v>
      </c>
      <c r="O484" s="35" t="n">
        <v>0</v>
      </c>
      <c r="P484" s="35" t="n">
        <v>0</v>
      </c>
      <c r="Q484" s="35" t="n">
        <v>1</v>
      </c>
      <c r="R484" s="35" t="n">
        <v>0</v>
      </c>
      <c r="S484" s="35" t="n">
        <v>0</v>
      </c>
      <c r="T484" s="35" t="n">
        <v>0</v>
      </c>
      <c r="U484" s="35" t="n">
        <v>0</v>
      </c>
      <c r="V484" s="35" t="n">
        <v>1</v>
      </c>
      <c r="W484" s="35" t="n">
        <v>0</v>
      </c>
      <c r="X484" s="35" t="n">
        <v>0</v>
      </c>
      <c r="Y484" s="35" t="n">
        <v>0</v>
      </c>
      <c r="Z484" s="35" t="n">
        <v>0</v>
      </c>
      <c r="AA484" s="35" t="n">
        <v>0</v>
      </c>
      <c r="AB484" s="35" t="n">
        <v>0</v>
      </c>
      <c r="AC484" s="33" t="s">
        <v>585</v>
      </c>
      <c r="AD484" s="36" t="n">
        <f aca="false">B484-B483</f>
        <v>0.125</v>
      </c>
    </row>
    <row r="485" customFormat="false" ht="15" hidden="false" customHeight="false" outlineLevel="0" collapsed="false">
      <c r="A485" s="30" t="n">
        <v>482</v>
      </c>
      <c r="B485" s="31" t="n">
        <f aca="false">Summary!$B$5+IF(D485=1,0,IF(C485=1,Summary!$B$6,NA()))+(MATCH(1,E485:L485,0)-1)*Summary!$B$7+(MATCH(1,M485:T485,0)-1)*Summary!$B$8+(MATCH(1,U485:AB485,0)-1)*Summary!$B$9</f>
        <v>90.25</v>
      </c>
      <c r="C485" s="32" t="n">
        <v>0</v>
      </c>
      <c r="D485" s="32" t="n">
        <v>1</v>
      </c>
      <c r="E485" s="32" t="n">
        <v>0</v>
      </c>
      <c r="F485" s="32" t="n">
        <v>0</v>
      </c>
      <c r="G485" s="32" t="n">
        <v>0</v>
      </c>
      <c r="H485" s="32" t="n">
        <v>0</v>
      </c>
      <c r="I485" s="32" t="n">
        <v>0</v>
      </c>
      <c r="J485" s="32" t="n">
        <v>0</v>
      </c>
      <c r="K485" s="32" t="n">
        <v>0</v>
      </c>
      <c r="L485" s="32" t="n">
        <v>1</v>
      </c>
      <c r="M485" s="32" t="n">
        <v>0</v>
      </c>
      <c r="N485" s="32" t="n">
        <v>0</v>
      </c>
      <c r="O485" s="32" t="n">
        <v>0</v>
      </c>
      <c r="P485" s="32" t="n">
        <v>0</v>
      </c>
      <c r="Q485" s="32" t="n">
        <v>1</v>
      </c>
      <c r="R485" s="32" t="n">
        <v>0</v>
      </c>
      <c r="S485" s="32" t="n">
        <v>0</v>
      </c>
      <c r="T485" s="32" t="n">
        <v>0</v>
      </c>
      <c r="U485" s="32" t="n">
        <v>0</v>
      </c>
      <c r="V485" s="32" t="n">
        <v>0</v>
      </c>
      <c r="W485" s="32" t="n">
        <v>1</v>
      </c>
      <c r="X485" s="32" t="n">
        <v>0</v>
      </c>
      <c r="Y485" s="32" t="n">
        <v>0</v>
      </c>
      <c r="Z485" s="32" t="n">
        <v>0</v>
      </c>
      <c r="AA485" s="32" t="n">
        <v>0</v>
      </c>
      <c r="AB485" s="32" t="n">
        <v>0</v>
      </c>
      <c r="AC485" s="30" t="s">
        <v>586</v>
      </c>
      <c r="AD485" s="37" t="n">
        <f aca="false">B485-B484</f>
        <v>0.125</v>
      </c>
    </row>
    <row r="486" customFormat="false" ht="15" hidden="false" customHeight="false" outlineLevel="0" collapsed="false">
      <c r="A486" s="33" t="n">
        <v>483</v>
      </c>
      <c r="B486" s="34" t="n">
        <f aca="false">Summary!$B$5+IF(D486=1,0,IF(C486=1,Summary!$B$6,NA()))+(MATCH(1,E486:L486,0)-1)*Summary!$B$7+(MATCH(1,M486:T486,0)-1)*Summary!$B$8+(MATCH(1,U486:AB486,0)-1)*Summary!$B$9</f>
        <v>90.375</v>
      </c>
      <c r="C486" s="35" t="n">
        <v>0</v>
      </c>
      <c r="D486" s="35" t="n">
        <v>1</v>
      </c>
      <c r="E486" s="35" t="n">
        <v>0</v>
      </c>
      <c r="F486" s="35" t="n">
        <v>0</v>
      </c>
      <c r="G486" s="35" t="n">
        <v>0</v>
      </c>
      <c r="H486" s="35" t="n">
        <v>0</v>
      </c>
      <c r="I486" s="35" t="n">
        <v>0</v>
      </c>
      <c r="J486" s="35" t="n">
        <v>0</v>
      </c>
      <c r="K486" s="35" t="n">
        <v>0</v>
      </c>
      <c r="L486" s="35" t="n">
        <v>1</v>
      </c>
      <c r="M486" s="35" t="n">
        <v>0</v>
      </c>
      <c r="N486" s="35" t="n">
        <v>0</v>
      </c>
      <c r="O486" s="35" t="n">
        <v>0</v>
      </c>
      <c r="P486" s="35" t="n">
        <v>0</v>
      </c>
      <c r="Q486" s="35" t="n">
        <v>1</v>
      </c>
      <c r="R486" s="35" t="n">
        <v>0</v>
      </c>
      <c r="S486" s="35" t="n">
        <v>0</v>
      </c>
      <c r="T486" s="35" t="n">
        <v>0</v>
      </c>
      <c r="U486" s="35" t="n">
        <v>0</v>
      </c>
      <c r="V486" s="35" t="n">
        <v>0</v>
      </c>
      <c r="W486" s="35" t="n">
        <v>0</v>
      </c>
      <c r="X486" s="35" t="n">
        <v>1</v>
      </c>
      <c r="Y486" s="35" t="n">
        <v>0</v>
      </c>
      <c r="Z486" s="35" t="n">
        <v>0</v>
      </c>
      <c r="AA486" s="35" t="n">
        <v>0</v>
      </c>
      <c r="AB486" s="35" t="n">
        <v>0</v>
      </c>
      <c r="AC486" s="33" t="s">
        <v>587</v>
      </c>
      <c r="AD486" s="36" t="n">
        <f aca="false">B486-B485</f>
        <v>0.125</v>
      </c>
    </row>
    <row r="487" customFormat="false" ht="15" hidden="false" customHeight="false" outlineLevel="0" collapsed="false">
      <c r="A487" s="30" t="n">
        <v>484</v>
      </c>
      <c r="B487" s="31" t="n">
        <f aca="false">Summary!$B$5+IF(D487=1,0,IF(C487=1,Summary!$B$6,NA()))+(MATCH(1,E487:L487,0)-1)*Summary!$B$7+(MATCH(1,M487:T487,0)-1)*Summary!$B$8+(MATCH(1,U487:AB487,0)-1)*Summary!$B$9</f>
        <v>90.5</v>
      </c>
      <c r="C487" s="32" t="n">
        <v>0</v>
      </c>
      <c r="D487" s="32" t="n">
        <v>1</v>
      </c>
      <c r="E487" s="32" t="n">
        <v>0</v>
      </c>
      <c r="F487" s="32" t="n">
        <v>0</v>
      </c>
      <c r="G487" s="32" t="n">
        <v>0</v>
      </c>
      <c r="H487" s="32" t="n">
        <v>0</v>
      </c>
      <c r="I487" s="32" t="n">
        <v>0</v>
      </c>
      <c r="J487" s="32" t="n">
        <v>0</v>
      </c>
      <c r="K487" s="32" t="n">
        <v>0</v>
      </c>
      <c r="L487" s="32" t="n">
        <v>1</v>
      </c>
      <c r="M487" s="32" t="n">
        <v>0</v>
      </c>
      <c r="N487" s="32" t="n">
        <v>0</v>
      </c>
      <c r="O487" s="32" t="n">
        <v>0</v>
      </c>
      <c r="P487" s="32" t="n">
        <v>0</v>
      </c>
      <c r="Q487" s="32" t="n">
        <v>1</v>
      </c>
      <c r="R487" s="32" t="n">
        <v>0</v>
      </c>
      <c r="S487" s="32" t="n">
        <v>0</v>
      </c>
      <c r="T487" s="32" t="n">
        <v>0</v>
      </c>
      <c r="U487" s="32" t="n">
        <v>0</v>
      </c>
      <c r="V487" s="32" t="n">
        <v>0</v>
      </c>
      <c r="W487" s="32" t="n">
        <v>0</v>
      </c>
      <c r="X487" s="32" t="n">
        <v>0</v>
      </c>
      <c r="Y487" s="32" t="n">
        <v>1</v>
      </c>
      <c r="Z487" s="32" t="n">
        <v>0</v>
      </c>
      <c r="AA487" s="32" t="n">
        <v>0</v>
      </c>
      <c r="AB487" s="32" t="n">
        <v>0</v>
      </c>
      <c r="AC487" s="30" t="s">
        <v>588</v>
      </c>
      <c r="AD487" s="37" t="n">
        <f aca="false">B487-B486</f>
        <v>0.125</v>
      </c>
    </row>
    <row r="488" customFormat="false" ht="15" hidden="false" customHeight="false" outlineLevel="0" collapsed="false">
      <c r="A488" s="33" t="n">
        <v>485</v>
      </c>
      <c r="B488" s="34" t="n">
        <f aca="false">Summary!$B$5+IF(D488=1,0,IF(C488=1,Summary!$B$6,NA()))+(MATCH(1,E488:L488,0)-1)*Summary!$B$7+(MATCH(1,M488:T488,0)-1)*Summary!$B$8+(MATCH(1,U488:AB488,0)-1)*Summary!$B$9</f>
        <v>90.625</v>
      </c>
      <c r="C488" s="35" t="n">
        <v>0</v>
      </c>
      <c r="D488" s="35" t="n">
        <v>1</v>
      </c>
      <c r="E488" s="35" t="n">
        <v>0</v>
      </c>
      <c r="F488" s="35" t="n">
        <v>0</v>
      </c>
      <c r="G488" s="35" t="n">
        <v>0</v>
      </c>
      <c r="H488" s="35" t="n">
        <v>0</v>
      </c>
      <c r="I488" s="35" t="n">
        <v>0</v>
      </c>
      <c r="J488" s="35" t="n">
        <v>0</v>
      </c>
      <c r="K488" s="35" t="n">
        <v>0</v>
      </c>
      <c r="L488" s="35" t="n">
        <v>1</v>
      </c>
      <c r="M488" s="35" t="n">
        <v>0</v>
      </c>
      <c r="N488" s="35" t="n">
        <v>0</v>
      </c>
      <c r="O488" s="35" t="n">
        <v>0</v>
      </c>
      <c r="P488" s="35" t="n">
        <v>0</v>
      </c>
      <c r="Q488" s="35" t="n">
        <v>1</v>
      </c>
      <c r="R488" s="35" t="n">
        <v>0</v>
      </c>
      <c r="S488" s="35" t="n">
        <v>0</v>
      </c>
      <c r="T488" s="35" t="n">
        <v>0</v>
      </c>
      <c r="U488" s="35" t="n">
        <v>0</v>
      </c>
      <c r="V488" s="35" t="n">
        <v>0</v>
      </c>
      <c r="W488" s="35" t="n">
        <v>0</v>
      </c>
      <c r="X488" s="35" t="n">
        <v>0</v>
      </c>
      <c r="Y488" s="35" t="n">
        <v>0</v>
      </c>
      <c r="Z488" s="35" t="n">
        <v>1</v>
      </c>
      <c r="AA488" s="35" t="n">
        <v>0</v>
      </c>
      <c r="AB488" s="35" t="n">
        <v>0</v>
      </c>
      <c r="AC488" s="33" t="s">
        <v>589</v>
      </c>
      <c r="AD488" s="36" t="n">
        <f aca="false">B488-B487</f>
        <v>0.125</v>
      </c>
    </row>
    <row r="489" customFormat="false" ht="15" hidden="false" customHeight="false" outlineLevel="0" collapsed="false">
      <c r="A489" s="30" t="n">
        <v>486</v>
      </c>
      <c r="B489" s="31" t="n">
        <f aca="false">Summary!$B$5+IF(D489=1,0,IF(C489=1,Summary!$B$6,NA()))+(MATCH(1,E489:L489,0)-1)*Summary!$B$7+(MATCH(1,M489:T489,0)-1)*Summary!$B$8+(MATCH(1,U489:AB489,0)-1)*Summary!$B$9</f>
        <v>90.75</v>
      </c>
      <c r="C489" s="32" t="n">
        <v>0</v>
      </c>
      <c r="D489" s="32" t="n">
        <v>1</v>
      </c>
      <c r="E489" s="32" t="n">
        <v>0</v>
      </c>
      <c r="F489" s="32" t="n">
        <v>0</v>
      </c>
      <c r="G489" s="32" t="n">
        <v>0</v>
      </c>
      <c r="H489" s="32" t="n">
        <v>0</v>
      </c>
      <c r="I489" s="32" t="n">
        <v>0</v>
      </c>
      <c r="J489" s="32" t="n">
        <v>0</v>
      </c>
      <c r="K489" s="32" t="n">
        <v>0</v>
      </c>
      <c r="L489" s="32" t="n">
        <v>1</v>
      </c>
      <c r="M489" s="32" t="n">
        <v>0</v>
      </c>
      <c r="N489" s="32" t="n">
        <v>0</v>
      </c>
      <c r="O489" s="32" t="n">
        <v>0</v>
      </c>
      <c r="P489" s="32" t="n">
        <v>0</v>
      </c>
      <c r="Q489" s="32" t="n">
        <v>1</v>
      </c>
      <c r="R489" s="32" t="n">
        <v>0</v>
      </c>
      <c r="S489" s="32" t="n">
        <v>0</v>
      </c>
      <c r="T489" s="32" t="n">
        <v>0</v>
      </c>
      <c r="U489" s="32" t="n">
        <v>0</v>
      </c>
      <c r="V489" s="32" t="n">
        <v>0</v>
      </c>
      <c r="W489" s="32" t="n">
        <v>0</v>
      </c>
      <c r="X489" s="32" t="n">
        <v>0</v>
      </c>
      <c r="Y489" s="32" t="n">
        <v>0</v>
      </c>
      <c r="Z489" s="32" t="n">
        <v>0</v>
      </c>
      <c r="AA489" s="32" t="n">
        <v>1</v>
      </c>
      <c r="AB489" s="32" t="n">
        <v>0</v>
      </c>
      <c r="AC489" s="30" t="s">
        <v>590</v>
      </c>
      <c r="AD489" s="37" t="n">
        <f aca="false">B489-B488</f>
        <v>0.125</v>
      </c>
    </row>
    <row r="490" customFormat="false" ht="15" hidden="false" customHeight="false" outlineLevel="0" collapsed="false">
      <c r="A490" s="33" t="n">
        <v>487</v>
      </c>
      <c r="B490" s="34" t="n">
        <f aca="false">Summary!$B$5+IF(D490=1,0,IF(C490=1,Summary!$B$6,NA()))+(MATCH(1,E490:L490,0)-1)*Summary!$B$7+(MATCH(1,M490:T490,0)-1)*Summary!$B$8+(MATCH(1,U490:AB490,0)-1)*Summary!$B$9</f>
        <v>90.875</v>
      </c>
      <c r="C490" s="35" t="n">
        <v>0</v>
      </c>
      <c r="D490" s="35" t="n">
        <v>1</v>
      </c>
      <c r="E490" s="35" t="n">
        <v>0</v>
      </c>
      <c r="F490" s="35" t="n">
        <v>0</v>
      </c>
      <c r="G490" s="35" t="n">
        <v>0</v>
      </c>
      <c r="H490" s="35" t="n">
        <v>0</v>
      </c>
      <c r="I490" s="35" t="n">
        <v>0</v>
      </c>
      <c r="J490" s="35" t="n">
        <v>0</v>
      </c>
      <c r="K490" s="35" t="n">
        <v>0</v>
      </c>
      <c r="L490" s="35" t="n">
        <v>1</v>
      </c>
      <c r="M490" s="35" t="n">
        <v>0</v>
      </c>
      <c r="N490" s="35" t="n">
        <v>0</v>
      </c>
      <c r="O490" s="35" t="n">
        <v>0</v>
      </c>
      <c r="P490" s="35" t="n">
        <v>0</v>
      </c>
      <c r="Q490" s="35" t="n">
        <v>1</v>
      </c>
      <c r="R490" s="35" t="n">
        <v>0</v>
      </c>
      <c r="S490" s="35" t="n">
        <v>0</v>
      </c>
      <c r="T490" s="35" t="n">
        <v>0</v>
      </c>
      <c r="U490" s="35" t="n">
        <v>0</v>
      </c>
      <c r="V490" s="35" t="n">
        <v>0</v>
      </c>
      <c r="W490" s="35" t="n">
        <v>0</v>
      </c>
      <c r="X490" s="35" t="n">
        <v>0</v>
      </c>
      <c r="Y490" s="35" t="n">
        <v>0</v>
      </c>
      <c r="Z490" s="35" t="n">
        <v>0</v>
      </c>
      <c r="AA490" s="35" t="n">
        <v>0</v>
      </c>
      <c r="AB490" s="35" t="n">
        <v>1</v>
      </c>
      <c r="AC490" s="33" t="s">
        <v>591</v>
      </c>
      <c r="AD490" s="36" t="n">
        <f aca="false">B490-B489</f>
        <v>0.125</v>
      </c>
    </row>
    <row r="491" customFormat="false" ht="15" hidden="false" customHeight="false" outlineLevel="0" collapsed="false">
      <c r="A491" s="30" t="n">
        <v>488</v>
      </c>
      <c r="B491" s="31" t="n">
        <f aca="false">Summary!$B$5+IF(D491=1,0,IF(C491=1,Summary!$B$6,NA()))+(MATCH(1,E491:L491,0)-1)*Summary!$B$7+(MATCH(1,M491:T491,0)-1)*Summary!$B$8+(MATCH(1,U491:AB491,0)-1)*Summary!$B$9</f>
        <v>91</v>
      </c>
      <c r="C491" s="32" t="n">
        <v>0</v>
      </c>
      <c r="D491" s="32" t="n">
        <v>1</v>
      </c>
      <c r="E491" s="32" t="n">
        <v>0</v>
      </c>
      <c r="F491" s="32" t="n">
        <v>0</v>
      </c>
      <c r="G491" s="32" t="n">
        <v>0</v>
      </c>
      <c r="H491" s="32" t="n">
        <v>0</v>
      </c>
      <c r="I491" s="32" t="n">
        <v>0</v>
      </c>
      <c r="J491" s="32" t="n">
        <v>0</v>
      </c>
      <c r="K491" s="32" t="n">
        <v>0</v>
      </c>
      <c r="L491" s="32" t="n">
        <v>1</v>
      </c>
      <c r="M491" s="32" t="n">
        <v>0</v>
      </c>
      <c r="N491" s="32" t="n">
        <v>0</v>
      </c>
      <c r="O491" s="32" t="n">
        <v>0</v>
      </c>
      <c r="P491" s="32" t="n">
        <v>0</v>
      </c>
      <c r="Q491" s="32" t="n">
        <v>0</v>
      </c>
      <c r="R491" s="32" t="n">
        <v>1</v>
      </c>
      <c r="S491" s="32" t="n">
        <v>0</v>
      </c>
      <c r="T491" s="32" t="n">
        <v>0</v>
      </c>
      <c r="U491" s="32" t="n">
        <v>1</v>
      </c>
      <c r="V491" s="32" t="n">
        <v>0</v>
      </c>
      <c r="W491" s="32" t="n">
        <v>0</v>
      </c>
      <c r="X491" s="32" t="n">
        <v>0</v>
      </c>
      <c r="Y491" s="32" t="n">
        <v>0</v>
      </c>
      <c r="Z491" s="32" t="n">
        <v>0</v>
      </c>
      <c r="AA491" s="32" t="n">
        <v>0</v>
      </c>
      <c r="AB491" s="32" t="n">
        <v>0</v>
      </c>
      <c r="AC491" s="30" t="s">
        <v>592</v>
      </c>
      <c r="AD491" s="37" t="n">
        <f aca="false">B491-B490</f>
        <v>0.125</v>
      </c>
    </row>
    <row r="492" customFormat="false" ht="15" hidden="false" customHeight="false" outlineLevel="0" collapsed="false">
      <c r="A492" s="33" t="n">
        <v>489</v>
      </c>
      <c r="B492" s="34" t="n">
        <f aca="false">Summary!$B$5+IF(D492=1,0,IF(C492=1,Summary!$B$6,NA()))+(MATCH(1,E492:L492,0)-1)*Summary!$B$7+(MATCH(1,M492:T492,0)-1)*Summary!$B$8+(MATCH(1,U492:AB492,0)-1)*Summary!$B$9</f>
        <v>91.125</v>
      </c>
      <c r="C492" s="35" t="n">
        <v>0</v>
      </c>
      <c r="D492" s="35" t="n">
        <v>1</v>
      </c>
      <c r="E492" s="35" t="n">
        <v>0</v>
      </c>
      <c r="F492" s="35" t="n">
        <v>0</v>
      </c>
      <c r="G492" s="35" t="n">
        <v>0</v>
      </c>
      <c r="H492" s="35" t="n">
        <v>0</v>
      </c>
      <c r="I492" s="35" t="n">
        <v>0</v>
      </c>
      <c r="J492" s="35" t="n">
        <v>0</v>
      </c>
      <c r="K492" s="35" t="n">
        <v>0</v>
      </c>
      <c r="L492" s="35" t="n">
        <v>1</v>
      </c>
      <c r="M492" s="35" t="n">
        <v>0</v>
      </c>
      <c r="N492" s="35" t="n">
        <v>0</v>
      </c>
      <c r="O492" s="35" t="n">
        <v>0</v>
      </c>
      <c r="P492" s="35" t="n">
        <v>0</v>
      </c>
      <c r="Q492" s="35" t="n">
        <v>0</v>
      </c>
      <c r="R492" s="35" t="n">
        <v>1</v>
      </c>
      <c r="S492" s="35" t="n">
        <v>0</v>
      </c>
      <c r="T492" s="35" t="n">
        <v>0</v>
      </c>
      <c r="U492" s="35" t="n">
        <v>0</v>
      </c>
      <c r="V492" s="35" t="n">
        <v>1</v>
      </c>
      <c r="W492" s="35" t="n">
        <v>0</v>
      </c>
      <c r="X492" s="35" t="n">
        <v>0</v>
      </c>
      <c r="Y492" s="35" t="n">
        <v>0</v>
      </c>
      <c r="Z492" s="35" t="n">
        <v>0</v>
      </c>
      <c r="AA492" s="35" t="n">
        <v>0</v>
      </c>
      <c r="AB492" s="35" t="n">
        <v>0</v>
      </c>
      <c r="AC492" s="33" t="s">
        <v>593</v>
      </c>
      <c r="AD492" s="36" t="n">
        <f aca="false">B492-B491</f>
        <v>0.125</v>
      </c>
    </row>
    <row r="493" customFormat="false" ht="15" hidden="false" customHeight="false" outlineLevel="0" collapsed="false">
      <c r="A493" s="30" t="n">
        <v>490</v>
      </c>
      <c r="B493" s="31" t="n">
        <f aca="false">Summary!$B$5+IF(D493=1,0,IF(C493=1,Summary!$B$6,NA()))+(MATCH(1,E493:L493,0)-1)*Summary!$B$7+(MATCH(1,M493:T493,0)-1)*Summary!$B$8+(MATCH(1,U493:AB493,0)-1)*Summary!$B$9</f>
        <v>91.25</v>
      </c>
      <c r="C493" s="32" t="n">
        <v>0</v>
      </c>
      <c r="D493" s="32" t="n">
        <v>1</v>
      </c>
      <c r="E493" s="32" t="n">
        <v>0</v>
      </c>
      <c r="F493" s="32" t="n">
        <v>0</v>
      </c>
      <c r="G493" s="32" t="n">
        <v>0</v>
      </c>
      <c r="H493" s="32" t="n">
        <v>0</v>
      </c>
      <c r="I493" s="32" t="n">
        <v>0</v>
      </c>
      <c r="J493" s="32" t="n">
        <v>0</v>
      </c>
      <c r="K493" s="32" t="n">
        <v>0</v>
      </c>
      <c r="L493" s="32" t="n">
        <v>1</v>
      </c>
      <c r="M493" s="32" t="n">
        <v>0</v>
      </c>
      <c r="N493" s="32" t="n">
        <v>0</v>
      </c>
      <c r="O493" s="32" t="n">
        <v>0</v>
      </c>
      <c r="P493" s="32" t="n">
        <v>0</v>
      </c>
      <c r="Q493" s="32" t="n">
        <v>0</v>
      </c>
      <c r="R493" s="32" t="n">
        <v>1</v>
      </c>
      <c r="S493" s="32" t="n">
        <v>0</v>
      </c>
      <c r="T493" s="32" t="n">
        <v>0</v>
      </c>
      <c r="U493" s="32" t="n">
        <v>0</v>
      </c>
      <c r="V493" s="32" t="n">
        <v>0</v>
      </c>
      <c r="W493" s="32" t="n">
        <v>1</v>
      </c>
      <c r="X493" s="32" t="n">
        <v>0</v>
      </c>
      <c r="Y493" s="32" t="n">
        <v>0</v>
      </c>
      <c r="Z493" s="32" t="n">
        <v>0</v>
      </c>
      <c r="AA493" s="32" t="n">
        <v>0</v>
      </c>
      <c r="AB493" s="32" t="n">
        <v>0</v>
      </c>
      <c r="AC493" s="30" t="s">
        <v>594</v>
      </c>
      <c r="AD493" s="37" t="n">
        <f aca="false">B493-B492</f>
        <v>0.125</v>
      </c>
    </row>
    <row r="494" customFormat="false" ht="15" hidden="false" customHeight="false" outlineLevel="0" collapsed="false">
      <c r="A494" s="33" t="n">
        <v>491</v>
      </c>
      <c r="B494" s="34" t="n">
        <f aca="false">Summary!$B$5+IF(D494=1,0,IF(C494=1,Summary!$B$6,NA()))+(MATCH(1,E494:L494,0)-1)*Summary!$B$7+(MATCH(1,M494:T494,0)-1)*Summary!$B$8+(MATCH(1,U494:AB494,0)-1)*Summary!$B$9</f>
        <v>91.375</v>
      </c>
      <c r="C494" s="35" t="n">
        <v>0</v>
      </c>
      <c r="D494" s="35" t="n">
        <v>1</v>
      </c>
      <c r="E494" s="35" t="n">
        <v>0</v>
      </c>
      <c r="F494" s="35" t="n">
        <v>0</v>
      </c>
      <c r="G494" s="35" t="n">
        <v>0</v>
      </c>
      <c r="H494" s="35" t="n">
        <v>0</v>
      </c>
      <c r="I494" s="35" t="n">
        <v>0</v>
      </c>
      <c r="J494" s="35" t="n">
        <v>0</v>
      </c>
      <c r="K494" s="35" t="n">
        <v>0</v>
      </c>
      <c r="L494" s="35" t="n">
        <v>1</v>
      </c>
      <c r="M494" s="35" t="n">
        <v>0</v>
      </c>
      <c r="N494" s="35" t="n">
        <v>0</v>
      </c>
      <c r="O494" s="35" t="n">
        <v>0</v>
      </c>
      <c r="P494" s="35" t="n">
        <v>0</v>
      </c>
      <c r="Q494" s="35" t="n">
        <v>0</v>
      </c>
      <c r="R494" s="35" t="n">
        <v>1</v>
      </c>
      <c r="S494" s="35" t="n">
        <v>0</v>
      </c>
      <c r="T494" s="35" t="n">
        <v>0</v>
      </c>
      <c r="U494" s="35" t="n">
        <v>0</v>
      </c>
      <c r="V494" s="35" t="n">
        <v>0</v>
      </c>
      <c r="W494" s="35" t="n">
        <v>0</v>
      </c>
      <c r="X494" s="35" t="n">
        <v>1</v>
      </c>
      <c r="Y494" s="35" t="n">
        <v>0</v>
      </c>
      <c r="Z494" s="35" t="n">
        <v>0</v>
      </c>
      <c r="AA494" s="35" t="n">
        <v>0</v>
      </c>
      <c r="AB494" s="35" t="n">
        <v>0</v>
      </c>
      <c r="AC494" s="33" t="s">
        <v>595</v>
      </c>
      <c r="AD494" s="36" t="n">
        <f aca="false">B494-B493</f>
        <v>0.125</v>
      </c>
    </row>
    <row r="495" customFormat="false" ht="15" hidden="false" customHeight="false" outlineLevel="0" collapsed="false">
      <c r="A495" s="30" t="n">
        <v>492</v>
      </c>
      <c r="B495" s="31" t="n">
        <f aca="false">Summary!$B$5+IF(D495=1,0,IF(C495=1,Summary!$B$6,NA()))+(MATCH(1,E495:L495,0)-1)*Summary!$B$7+(MATCH(1,M495:T495,0)-1)*Summary!$B$8+(MATCH(1,U495:AB495,0)-1)*Summary!$B$9</f>
        <v>91.5</v>
      </c>
      <c r="C495" s="32" t="n">
        <v>0</v>
      </c>
      <c r="D495" s="32" t="n">
        <v>1</v>
      </c>
      <c r="E495" s="32" t="n">
        <v>0</v>
      </c>
      <c r="F495" s="32" t="n">
        <v>0</v>
      </c>
      <c r="G495" s="32" t="n">
        <v>0</v>
      </c>
      <c r="H495" s="32" t="n">
        <v>0</v>
      </c>
      <c r="I495" s="32" t="n">
        <v>0</v>
      </c>
      <c r="J495" s="32" t="n">
        <v>0</v>
      </c>
      <c r="K495" s="32" t="n">
        <v>0</v>
      </c>
      <c r="L495" s="32" t="n">
        <v>1</v>
      </c>
      <c r="M495" s="32" t="n">
        <v>0</v>
      </c>
      <c r="N495" s="32" t="n">
        <v>0</v>
      </c>
      <c r="O495" s="32" t="n">
        <v>0</v>
      </c>
      <c r="P495" s="32" t="n">
        <v>0</v>
      </c>
      <c r="Q495" s="32" t="n">
        <v>0</v>
      </c>
      <c r="R495" s="32" t="n">
        <v>1</v>
      </c>
      <c r="S495" s="32" t="n">
        <v>0</v>
      </c>
      <c r="T495" s="32" t="n">
        <v>0</v>
      </c>
      <c r="U495" s="32" t="n">
        <v>0</v>
      </c>
      <c r="V495" s="32" t="n">
        <v>0</v>
      </c>
      <c r="W495" s="32" t="n">
        <v>0</v>
      </c>
      <c r="X495" s="32" t="n">
        <v>0</v>
      </c>
      <c r="Y495" s="32" t="n">
        <v>1</v>
      </c>
      <c r="Z495" s="32" t="n">
        <v>0</v>
      </c>
      <c r="AA495" s="32" t="n">
        <v>0</v>
      </c>
      <c r="AB495" s="32" t="n">
        <v>0</v>
      </c>
      <c r="AC495" s="30" t="s">
        <v>596</v>
      </c>
      <c r="AD495" s="37" t="n">
        <f aca="false">B495-B494</f>
        <v>0.125</v>
      </c>
    </row>
    <row r="496" customFormat="false" ht="15" hidden="false" customHeight="false" outlineLevel="0" collapsed="false">
      <c r="A496" s="33" t="n">
        <v>493</v>
      </c>
      <c r="B496" s="34" t="n">
        <f aca="false">Summary!$B$5+IF(D496=1,0,IF(C496=1,Summary!$B$6,NA()))+(MATCH(1,E496:L496,0)-1)*Summary!$B$7+(MATCH(1,M496:T496,0)-1)*Summary!$B$8+(MATCH(1,U496:AB496,0)-1)*Summary!$B$9</f>
        <v>91.625</v>
      </c>
      <c r="C496" s="35" t="n">
        <v>0</v>
      </c>
      <c r="D496" s="35" t="n">
        <v>1</v>
      </c>
      <c r="E496" s="35" t="n">
        <v>0</v>
      </c>
      <c r="F496" s="35" t="n">
        <v>0</v>
      </c>
      <c r="G496" s="35" t="n">
        <v>0</v>
      </c>
      <c r="H496" s="35" t="n">
        <v>0</v>
      </c>
      <c r="I496" s="35" t="n">
        <v>0</v>
      </c>
      <c r="J496" s="35" t="n">
        <v>0</v>
      </c>
      <c r="K496" s="35" t="n">
        <v>0</v>
      </c>
      <c r="L496" s="35" t="n">
        <v>1</v>
      </c>
      <c r="M496" s="35" t="n">
        <v>0</v>
      </c>
      <c r="N496" s="35" t="n">
        <v>0</v>
      </c>
      <c r="O496" s="35" t="n">
        <v>0</v>
      </c>
      <c r="P496" s="35" t="n">
        <v>0</v>
      </c>
      <c r="Q496" s="35" t="n">
        <v>0</v>
      </c>
      <c r="R496" s="35" t="n">
        <v>1</v>
      </c>
      <c r="S496" s="35" t="n">
        <v>0</v>
      </c>
      <c r="T496" s="35" t="n">
        <v>0</v>
      </c>
      <c r="U496" s="35" t="n">
        <v>0</v>
      </c>
      <c r="V496" s="35" t="n">
        <v>0</v>
      </c>
      <c r="W496" s="35" t="n">
        <v>0</v>
      </c>
      <c r="X496" s="35" t="n">
        <v>0</v>
      </c>
      <c r="Y496" s="35" t="n">
        <v>0</v>
      </c>
      <c r="Z496" s="35" t="n">
        <v>1</v>
      </c>
      <c r="AA496" s="35" t="n">
        <v>0</v>
      </c>
      <c r="AB496" s="35" t="n">
        <v>0</v>
      </c>
      <c r="AC496" s="33" t="s">
        <v>597</v>
      </c>
      <c r="AD496" s="36" t="n">
        <f aca="false">B496-B495</f>
        <v>0.125</v>
      </c>
    </row>
    <row r="497" customFormat="false" ht="15" hidden="false" customHeight="false" outlineLevel="0" collapsed="false">
      <c r="A497" s="30" t="n">
        <v>494</v>
      </c>
      <c r="B497" s="31" t="n">
        <f aca="false">Summary!$B$5+IF(D497=1,0,IF(C497=1,Summary!$B$6,NA()))+(MATCH(1,E497:L497,0)-1)*Summary!$B$7+(MATCH(1,M497:T497,0)-1)*Summary!$B$8+(MATCH(1,U497:AB497,0)-1)*Summary!$B$9</f>
        <v>91.75</v>
      </c>
      <c r="C497" s="32" t="n">
        <v>0</v>
      </c>
      <c r="D497" s="32" t="n">
        <v>1</v>
      </c>
      <c r="E497" s="32" t="n">
        <v>0</v>
      </c>
      <c r="F497" s="32" t="n">
        <v>0</v>
      </c>
      <c r="G497" s="32" t="n">
        <v>0</v>
      </c>
      <c r="H497" s="32" t="n">
        <v>0</v>
      </c>
      <c r="I497" s="32" t="n">
        <v>0</v>
      </c>
      <c r="J497" s="32" t="n">
        <v>0</v>
      </c>
      <c r="K497" s="32" t="n">
        <v>0</v>
      </c>
      <c r="L497" s="32" t="n">
        <v>1</v>
      </c>
      <c r="M497" s="32" t="n">
        <v>0</v>
      </c>
      <c r="N497" s="32" t="n">
        <v>0</v>
      </c>
      <c r="O497" s="32" t="n">
        <v>0</v>
      </c>
      <c r="P497" s="32" t="n">
        <v>0</v>
      </c>
      <c r="Q497" s="32" t="n">
        <v>0</v>
      </c>
      <c r="R497" s="32" t="n">
        <v>1</v>
      </c>
      <c r="S497" s="32" t="n">
        <v>0</v>
      </c>
      <c r="T497" s="32" t="n">
        <v>0</v>
      </c>
      <c r="U497" s="32" t="n">
        <v>0</v>
      </c>
      <c r="V497" s="32" t="n">
        <v>0</v>
      </c>
      <c r="W497" s="32" t="n">
        <v>0</v>
      </c>
      <c r="X497" s="32" t="n">
        <v>0</v>
      </c>
      <c r="Y497" s="32" t="n">
        <v>0</v>
      </c>
      <c r="Z497" s="32" t="n">
        <v>0</v>
      </c>
      <c r="AA497" s="32" t="n">
        <v>1</v>
      </c>
      <c r="AB497" s="32" t="n">
        <v>0</v>
      </c>
      <c r="AC497" s="30" t="s">
        <v>598</v>
      </c>
      <c r="AD497" s="37" t="n">
        <f aca="false">B497-B496</f>
        <v>0.125</v>
      </c>
    </row>
    <row r="498" customFormat="false" ht="15" hidden="false" customHeight="false" outlineLevel="0" collapsed="false">
      <c r="A498" s="33" t="n">
        <v>495</v>
      </c>
      <c r="B498" s="34" t="n">
        <f aca="false">Summary!$B$5+IF(D498=1,0,IF(C498=1,Summary!$B$6,NA()))+(MATCH(1,E498:L498,0)-1)*Summary!$B$7+(MATCH(1,M498:T498,0)-1)*Summary!$B$8+(MATCH(1,U498:AB498,0)-1)*Summary!$B$9</f>
        <v>91.875</v>
      </c>
      <c r="C498" s="35" t="n">
        <v>0</v>
      </c>
      <c r="D498" s="35" t="n">
        <v>1</v>
      </c>
      <c r="E498" s="35" t="n">
        <v>0</v>
      </c>
      <c r="F498" s="35" t="n">
        <v>0</v>
      </c>
      <c r="G498" s="35" t="n">
        <v>0</v>
      </c>
      <c r="H498" s="35" t="n">
        <v>0</v>
      </c>
      <c r="I498" s="35" t="n">
        <v>0</v>
      </c>
      <c r="J498" s="35" t="n">
        <v>0</v>
      </c>
      <c r="K498" s="35" t="n">
        <v>0</v>
      </c>
      <c r="L498" s="35" t="n">
        <v>1</v>
      </c>
      <c r="M498" s="35" t="n">
        <v>0</v>
      </c>
      <c r="N498" s="35" t="n">
        <v>0</v>
      </c>
      <c r="O498" s="35" t="n">
        <v>0</v>
      </c>
      <c r="P498" s="35" t="n">
        <v>0</v>
      </c>
      <c r="Q498" s="35" t="n">
        <v>0</v>
      </c>
      <c r="R498" s="35" t="n">
        <v>1</v>
      </c>
      <c r="S498" s="35" t="n">
        <v>0</v>
      </c>
      <c r="T498" s="35" t="n">
        <v>0</v>
      </c>
      <c r="U498" s="35" t="n">
        <v>0</v>
      </c>
      <c r="V498" s="35" t="n">
        <v>0</v>
      </c>
      <c r="W498" s="35" t="n">
        <v>0</v>
      </c>
      <c r="X498" s="35" t="n">
        <v>0</v>
      </c>
      <c r="Y498" s="35" t="n">
        <v>0</v>
      </c>
      <c r="Z498" s="35" t="n">
        <v>0</v>
      </c>
      <c r="AA498" s="35" t="n">
        <v>0</v>
      </c>
      <c r="AB498" s="35" t="n">
        <v>1</v>
      </c>
      <c r="AC498" s="33" t="s">
        <v>599</v>
      </c>
      <c r="AD498" s="36" t="n">
        <f aca="false">B498-B497</f>
        <v>0.125</v>
      </c>
    </row>
    <row r="499" customFormat="false" ht="15" hidden="false" customHeight="false" outlineLevel="0" collapsed="false">
      <c r="A499" s="30" t="n">
        <v>496</v>
      </c>
      <c r="B499" s="31" t="n">
        <f aca="false">Summary!$B$5+IF(D499=1,0,IF(C499=1,Summary!$B$6,NA()))+(MATCH(1,E499:L499,0)-1)*Summary!$B$7+(MATCH(1,M499:T499,0)-1)*Summary!$B$8+(MATCH(1,U499:AB499,0)-1)*Summary!$B$9</f>
        <v>92</v>
      </c>
      <c r="C499" s="32" t="n">
        <v>0</v>
      </c>
      <c r="D499" s="32" t="n">
        <v>1</v>
      </c>
      <c r="E499" s="32" t="n">
        <v>0</v>
      </c>
      <c r="F499" s="32" t="n">
        <v>0</v>
      </c>
      <c r="G499" s="32" t="n">
        <v>0</v>
      </c>
      <c r="H499" s="32" t="n">
        <v>0</v>
      </c>
      <c r="I499" s="32" t="n">
        <v>0</v>
      </c>
      <c r="J499" s="32" t="n">
        <v>0</v>
      </c>
      <c r="K499" s="32" t="n">
        <v>0</v>
      </c>
      <c r="L499" s="32" t="n">
        <v>1</v>
      </c>
      <c r="M499" s="32" t="n">
        <v>0</v>
      </c>
      <c r="N499" s="32" t="n">
        <v>0</v>
      </c>
      <c r="O499" s="32" t="n">
        <v>0</v>
      </c>
      <c r="P499" s="32" t="n">
        <v>0</v>
      </c>
      <c r="Q499" s="32" t="n">
        <v>0</v>
      </c>
      <c r="R499" s="32" t="n">
        <v>0</v>
      </c>
      <c r="S499" s="32" t="n">
        <v>1</v>
      </c>
      <c r="T499" s="32" t="n">
        <v>0</v>
      </c>
      <c r="U499" s="32" t="n">
        <v>1</v>
      </c>
      <c r="V499" s="32" t="n">
        <v>0</v>
      </c>
      <c r="W499" s="32" t="n">
        <v>0</v>
      </c>
      <c r="X499" s="32" t="n">
        <v>0</v>
      </c>
      <c r="Y499" s="32" t="n">
        <v>0</v>
      </c>
      <c r="Z499" s="32" t="n">
        <v>0</v>
      </c>
      <c r="AA499" s="32" t="n">
        <v>0</v>
      </c>
      <c r="AB499" s="32" t="n">
        <v>0</v>
      </c>
      <c r="AC499" s="30" t="s">
        <v>600</v>
      </c>
      <c r="AD499" s="37" t="n">
        <f aca="false">B499-B498</f>
        <v>0.125</v>
      </c>
    </row>
    <row r="500" customFormat="false" ht="15" hidden="false" customHeight="false" outlineLevel="0" collapsed="false">
      <c r="A500" s="33" t="n">
        <v>497</v>
      </c>
      <c r="B500" s="34" t="n">
        <f aca="false">Summary!$B$5+IF(D500=1,0,IF(C500=1,Summary!$B$6,NA()))+(MATCH(1,E500:L500,0)-1)*Summary!$B$7+(MATCH(1,M500:T500,0)-1)*Summary!$B$8+(MATCH(1,U500:AB500,0)-1)*Summary!$B$9</f>
        <v>92.125</v>
      </c>
      <c r="C500" s="35" t="n">
        <v>0</v>
      </c>
      <c r="D500" s="35" t="n">
        <v>1</v>
      </c>
      <c r="E500" s="35" t="n">
        <v>0</v>
      </c>
      <c r="F500" s="35" t="n">
        <v>0</v>
      </c>
      <c r="G500" s="35" t="n">
        <v>0</v>
      </c>
      <c r="H500" s="35" t="n">
        <v>0</v>
      </c>
      <c r="I500" s="35" t="n">
        <v>0</v>
      </c>
      <c r="J500" s="35" t="n">
        <v>0</v>
      </c>
      <c r="K500" s="35" t="n">
        <v>0</v>
      </c>
      <c r="L500" s="35" t="n">
        <v>1</v>
      </c>
      <c r="M500" s="35" t="n">
        <v>0</v>
      </c>
      <c r="N500" s="35" t="n">
        <v>0</v>
      </c>
      <c r="O500" s="35" t="n">
        <v>0</v>
      </c>
      <c r="P500" s="35" t="n">
        <v>0</v>
      </c>
      <c r="Q500" s="35" t="n">
        <v>0</v>
      </c>
      <c r="R500" s="35" t="n">
        <v>0</v>
      </c>
      <c r="S500" s="35" t="n">
        <v>1</v>
      </c>
      <c r="T500" s="35" t="n">
        <v>0</v>
      </c>
      <c r="U500" s="35" t="n">
        <v>0</v>
      </c>
      <c r="V500" s="35" t="n">
        <v>1</v>
      </c>
      <c r="W500" s="35" t="n">
        <v>0</v>
      </c>
      <c r="X500" s="35" t="n">
        <v>0</v>
      </c>
      <c r="Y500" s="35" t="n">
        <v>0</v>
      </c>
      <c r="Z500" s="35" t="n">
        <v>0</v>
      </c>
      <c r="AA500" s="35" t="n">
        <v>0</v>
      </c>
      <c r="AB500" s="35" t="n">
        <v>0</v>
      </c>
      <c r="AC500" s="33" t="s">
        <v>601</v>
      </c>
      <c r="AD500" s="36" t="n">
        <f aca="false">B500-B499</f>
        <v>0.125</v>
      </c>
    </row>
    <row r="501" customFormat="false" ht="15" hidden="false" customHeight="false" outlineLevel="0" collapsed="false">
      <c r="A501" s="30" t="n">
        <v>498</v>
      </c>
      <c r="B501" s="31" t="n">
        <f aca="false">Summary!$B$5+IF(D501=1,0,IF(C501=1,Summary!$B$6,NA()))+(MATCH(1,E501:L501,0)-1)*Summary!$B$7+(MATCH(1,M501:T501,0)-1)*Summary!$B$8+(MATCH(1,U501:AB501,0)-1)*Summary!$B$9</f>
        <v>92.25</v>
      </c>
      <c r="C501" s="32" t="n">
        <v>0</v>
      </c>
      <c r="D501" s="32" t="n">
        <v>1</v>
      </c>
      <c r="E501" s="32" t="n">
        <v>0</v>
      </c>
      <c r="F501" s="32" t="n">
        <v>0</v>
      </c>
      <c r="G501" s="32" t="n">
        <v>0</v>
      </c>
      <c r="H501" s="32" t="n">
        <v>0</v>
      </c>
      <c r="I501" s="32" t="n">
        <v>0</v>
      </c>
      <c r="J501" s="32" t="n">
        <v>0</v>
      </c>
      <c r="K501" s="32" t="n">
        <v>0</v>
      </c>
      <c r="L501" s="32" t="n">
        <v>1</v>
      </c>
      <c r="M501" s="32" t="n">
        <v>0</v>
      </c>
      <c r="N501" s="32" t="n">
        <v>0</v>
      </c>
      <c r="O501" s="32" t="n">
        <v>0</v>
      </c>
      <c r="P501" s="32" t="n">
        <v>0</v>
      </c>
      <c r="Q501" s="32" t="n">
        <v>0</v>
      </c>
      <c r="R501" s="32" t="n">
        <v>0</v>
      </c>
      <c r="S501" s="32" t="n">
        <v>1</v>
      </c>
      <c r="T501" s="32" t="n">
        <v>0</v>
      </c>
      <c r="U501" s="32" t="n">
        <v>0</v>
      </c>
      <c r="V501" s="32" t="n">
        <v>0</v>
      </c>
      <c r="W501" s="32" t="n">
        <v>1</v>
      </c>
      <c r="X501" s="32" t="n">
        <v>0</v>
      </c>
      <c r="Y501" s="32" t="n">
        <v>0</v>
      </c>
      <c r="Z501" s="32" t="n">
        <v>0</v>
      </c>
      <c r="AA501" s="32" t="n">
        <v>0</v>
      </c>
      <c r="AB501" s="32" t="n">
        <v>0</v>
      </c>
      <c r="AC501" s="30" t="s">
        <v>602</v>
      </c>
      <c r="AD501" s="37" t="n">
        <f aca="false">B501-B500</f>
        <v>0.125</v>
      </c>
    </row>
    <row r="502" customFormat="false" ht="15" hidden="false" customHeight="false" outlineLevel="0" collapsed="false">
      <c r="A502" s="33" t="n">
        <v>499</v>
      </c>
      <c r="B502" s="34" t="n">
        <f aca="false">Summary!$B$5+IF(D502=1,0,IF(C502=1,Summary!$B$6,NA()))+(MATCH(1,E502:L502,0)-1)*Summary!$B$7+(MATCH(1,M502:T502,0)-1)*Summary!$B$8+(MATCH(1,U502:AB502,0)-1)*Summary!$B$9</f>
        <v>92.375</v>
      </c>
      <c r="C502" s="35" t="n">
        <v>0</v>
      </c>
      <c r="D502" s="35" t="n">
        <v>1</v>
      </c>
      <c r="E502" s="35" t="n">
        <v>0</v>
      </c>
      <c r="F502" s="35" t="n">
        <v>0</v>
      </c>
      <c r="G502" s="35" t="n">
        <v>0</v>
      </c>
      <c r="H502" s="35" t="n">
        <v>0</v>
      </c>
      <c r="I502" s="35" t="n">
        <v>0</v>
      </c>
      <c r="J502" s="35" t="n">
        <v>0</v>
      </c>
      <c r="K502" s="35" t="n">
        <v>0</v>
      </c>
      <c r="L502" s="35" t="n">
        <v>1</v>
      </c>
      <c r="M502" s="35" t="n">
        <v>0</v>
      </c>
      <c r="N502" s="35" t="n">
        <v>0</v>
      </c>
      <c r="O502" s="35" t="n">
        <v>0</v>
      </c>
      <c r="P502" s="35" t="n">
        <v>0</v>
      </c>
      <c r="Q502" s="35" t="n">
        <v>0</v>
      </c>
      <c r="R502" s="35" t="n">
        <v>0</v>
      </c>
      <c r="S502" s="35" t="n">
        <v>1</v>
      </c>
      <c r="T502" s="35" t="n">
        <v>0</v>
      </c>
      <c r="U502" s="35" t="n">
        <v>0</v>
      </c>
      <c r="V502" s="35" t="n">
        <v>0</v>
      </c>
      <c r="W502" s="35" t="n">
        <v>0</v>
      </c>
      <c r="X502" s="35" t="n">
        <v>1</v>
      </c>
      <c r="Y502" s="35" t="n">
        <v>0</v>
      </c>
      <c r="Z502" s="35" t="n">
        <v>0</v>
      </c>
      <c r="AA502" s="35" t="n">
        <v>0</v>
      </c>
      <c r="AB502" s="35" t="n">
        <v>0</v>
      </c>
      <c r="AC502" s="33" t="s">
        <v>603</v>
      </c>
      <c r="AD502" s="36" t="n">
        <f aca="false">B502-B501</f>
        <v>0.125</v>
      </c>
    </row>
    <row r="503" customFormat="false" ht="15" hidden="false" customHeight="false" outlineLevel="0" collapsed="false">
      <c r="A503" s="30" t="n">
        <v>500</v>
      </c>
      <c r="B503" s="31" t="n">
        <f aca="false">Summary!$B$5+IF(D503=1,0,IF(C503=1,Summary!$B$6,NA()))+(MATCH(1,E503:L503,0)-1)*Summary!$B$7+(MATCH(1,M503:T503,0)-1)*Summary!$B$8+(MATCH(1,U503:AB503,0)-1)*Summary!$B$9</f>
        <v>92.5</v>
      </c>
      <c r="C503" s="32" t="n">
        <v>0</v>
      </c>
      <c r="D503" s="32" t="n">
        <v>1</v>
      </c>
      <c r="E503" s="32" t="n">
        <v>0</v>
      </c>
      <c r="F503" s="32" t="n">
        <v>0</v>
      </c>
      <c r="G503" s="32" t="n">
        <v>0</v>
      </c>
      <c r="H503" s="32" t="n">
        <v>0</v>
      </c>
      <c r="I503" s="32" t="n">
        <v>0</v>
      </c>
      <c r="J503" s="32" t="n">
        <v>0</v>
      </c>
      <c r="K503" s="32" t="n">
        <v>0</v>
      </c>
      <c r="L503" s="32" t="n">
        <v>1</v>
      </c>
      <c r="M503" s="32" t="n">
        <v>0</v>
      </c>
      <c r="N503" s="32" t="n">
        <v>0</v>
      </c>
      <c r="O503" s="32" t="n">
        <v>0</v>
      </c>
      <c r="P503" s="32" t="n">
        <v>0</v>
      </c>
      <c r="Q503" s="32" t="n">
        <v>0</v>
      </c>
      <c r="R503" s="32" t="n">
        <v>0</v>
      </c>
      <c r="S503" s="32" t="n">
        <v>1</v>
      </c>
      <c r="T503" s="32" t="n">
        <v>0</v>
      </c>
      <c r="U503" s="32" t="n">
        <v>0</v>
      </c>
      <c r="V503" s="32" t="n">
        <v>0</v>
      </c>
      <c r="W503" s="32" t="n">
        <v>0</v>
      </c>
      <c r="X503" s="32" t="n">
        <v>0</v>
      </c>
      <c r="Y503" s="32" t="n">
        <v>1</v>
      </c>
      <c r="Z503" s="32" t="n">
        <v>0</v>
      </c>
      <c r="AA503" s="32" t="n">
        <v>0</v>
      </c>
      <c r="AB503" s="32" t="n">
        <v>0</v>
      </c>
      <c r="AC503" s="30" t="s">
        <v>604</v>
      </c>
      <c r="AD503" s="37" t="n">
        <f aca="false">B503-B502</f>
        <v>0.125</v>
      </c>
    </row>
    <row r="504" customFormat="false" ht="15" hidden="false" customHeight="false" outlineLevel="0" collapsed="false">
      <c r="A504" s="33" t="n">
        <v>501</v>
      </c>
      <c r="B504" s="34" t="n">
        <f aca="false">Summary!$B$5+IF(D504=1,0,IF(C504=1,Summary!$B$6,NA()))+(MATCH(1,E504:L504,0)-1)*Summary!$B$7+(MATCH(1,M504:T504,0)-1)*Summary!$B$8+(MATCH(1,U504:AB504,0)-1)*Summary!$B$9</f>
        <v>92.625</v>
      </c>
      <c r="C504" s="35" t="n">
        <v>0</v>
      </c>
      <c r="D504" s="35" t="n">
        <v>1</v>
      </c>
      <c r="E504" s="35" t="n">
        <v>0</v>
      </c>
      <c r="F504" s="35" t="n">
        <v>0</v>
      </c>
      <c r="G504" s="35" t="n">
        <v>0</v>
      </c>
      <c r="H504" s="35" t="n">
        <v>0</v>
      </c>
      <c r="I504" s="35" t="n">
        <v>0</v>
      </c>
      <c r="J504" s="35" t="n">
        <v>0</v>
      </c>
      <c r="K504" s="35" t="n">
        <v>0</v>
      </c>
      <c r="L504" s="35" t="n">
        <v>1</v>
      </c>
      <c r="M504" s="35" t="n">
        <v>0</v>
      </c>
      <c r="N504" s="35" t="n">
        <v>0</v>
      </c>
      <c r="O504" s="35" t="n">
        <v>0</v>
      </c>
      <c r="P504" s="35" t="n">
        <v>0</v>
      </c>
      <c r="Q504" s="35" t="n">
        <v>0</v>
      </c>
      <c r="R504" s="35" t="n">
        <v>0</v>
      </c>
      <c r="S504" s="35" t="n">
        <v>1</v>
      </c>
      <c r="T504" s="35" t="n">
        <v>0</v>
      </c>
      <c r="U504" s="35" t="n">
        <v>0</v>
      </c>
      <c r="V504" s="35" t="n">
        <v>0</v>
      </c>
      <c r="W504" s="35" t="n">
        <v>0</v>
      </c>
      <c r="X504" s="35" t="n">
        <v>0</v>
      </c>
      <c r="Y504" s="35" t="n">
        <v>0</v>
      </c>
      <c r="Z504" s="35" t="n">
        <v>1</v>
      </c>
      <c r="AA504" s="35" t="n">
        <v>0</v>
      </c>
      <c r="AB504" s="35" t="n">
        <v>0</v>
      </c>
      <c r="AC504" s="33" t="s">
        <v>605</v>
      </c>
      <c r="AD504" s="36" t="n">
        <f aca="false">B504-B503</f>
        <v>0.125</v>
      </c>
    </row>
    <row r="505" customFormat="false" ht="15" hidden="false" customHeight="false" outlineLevel="0" collapsed="false">
      <c r="A505" s="30" t="n">
        <v>502</v>
      </c>
      <c r="B505" s="31" t="n">
        <f aca="false">Summary!$B$5+IF(D505=1,0,IF(C505=1,Summary!$B$6,NA()))+(MATCH(1,E505:L505,0)-1)*Summary!$B$7+(MATCH(1,M505:T505,0)-1)*Summary!$B$8+(MATCH(1,U505:AB505,0)-1)*Summary!$B$9</f>
        <v>92.75</v>
      </c>
      <c r="C505" s="32" t="n">
        <v>0</v>
      </c>
      <c r="D505" s="32" t="n">
        <v>1</v>
      </c>
      <c r="E505" s="32" t="n">
        <v>0</v>
      </c>
      <c r="F505" s="32" t="n">
        <v>0</v>
      </c>
      <c r="G505" s="32" t="n">
        <v>0</v>
      </c>
      <c r="H505" s="32" t="n">
        <v>0</v>
      </c>
      <c r="I505" s="32" t="n">
        <v>0</v>
      </c>
      <c r="J505" s="32" t="n">
        <v>0</v>
      </c>
      <c r="K505" s="32" t="n">
        <v>0</v>
      </c>
      <c r="L505" s="32" t="n">
        <v>1</v>
      </c>
      <c r="M505" s="32" t="n">
        <v>0</v>
      </c>
      <c r="N505" s="32" t="n">
        <v>0</v>
      </c>
      <c r="O505" s="32" t="n">
        <v>0</v>
      </c>
      <c r="P505" s="32" t="n">
        <v>0</v>
      </c>
      <c r="Q505" s="32" t="n">
        <v>0</v>
      </c>
      <c r="R505" s="32" t="n">
        <v>0</v>
      </c>
      <c r="S505" s="32" t="n">
        <v>1</v>
      </c>
      <c r="T505" s="32" t="n">
        <v>0</v>
      </c>
      <c r="U505" s="32" t="n">
        <v>0</v>
      </c>
      <c r="V505" s="32" t="n">
        <v>0</v>
      </c>
      <c r="W505" s="32" t="n">
        <v>0</v>
      </c>
      <c r="X505" s="32" t="n">
        <v>0</v>
      </c>
      <c r="Y505" s="32" t="n">
        <v>0</v>
      </c>
      <c r="Z505" s="32" t="n">
        <v>0</v>
      </c>
      <c r="AA505" s="32" t="n">
        <v>1</v>
      </c>
      <c r="AB505" s="32" t="n">
        <v>0</v>
      </c>
      <c r="AC505" s="30" t="s">
        <v>606</v>
      </c>
      <c r="AD505" s="37" t="n">
        <f aca="false">B505-B504</f>
        <v>0.125</v>
      </c>
    </row>
    <row r="506" customFormat="false" ht="15" hidden="false" customHeight="false" outlineLevel="0" collapsed="false">
      <c r="A506" s="33" t="n">
        <v>503</v>
      </c>
      <c r="B506" s="34" t="n">
        <f aca="false">Summary!$B$5+IF(D506=1,0,IF(C506=1,Summary!$B$6,NA()))+(MATCH(1,E506:L506,0)-1)*Summary!$B$7+(MATCH(1,M506:T506,0)-1)*Summary!$B$8+(MATCH(1,U506:AB506,0)-1)*Summary!$B$9</f>
        <v>92.875</v>
      </c>
      <c r="C506" s="35" t="n">
        <v>0</v>
      </c>
      <c r="D506" s="35" t="n">
        <v>1</v>
      </c>
      <c r="E506" s="35" t="n">
        <v>0</v>
      </c>
      <c r="F506" s="35" t="n">
        <v>0</v>
      </c>
      <c r="G506" s="35" t="n">
        <v>0</v>
      </c>
      <c r="H506" s="35" t="n">
        <v>0</v>
      </c>
      <c r="I506" s="35" t="n">
        <v>0</v>
      </c>
      <c r="J506" s="35" t="n">
        <v>0</v>
      </c>
      <c r="K506" s="35" t="n">
        <v>0</v>
      </c>
      <c r="L506" s="35" t="n">
        <v>1</v>
      </c>
      <c r="M506" s="35" t="n">
        <v>0</v>
      </c>
      <c r="N506" s="35" t="n">
        <v>0</v>
      </c>
      <c r="O506" s="35" t="n">
        <v>0</v>
      </c>
      <c r="P506" s="35" t="n">
        <v>0</v>
      </c>
      <c r="Q506" s="35" t="n">
        <v>0</v>
      </c>
      <c r="R506" s="35" t="n">
        <v>0</v>
      </c>
      <c r="S506" s="35" t="n">
        <v>1</v>
      </c>
      <c r="T506" s="35" t="n">
        <v>0</v>
      </c>
      <c r="U506" s="35" t="n">
        <v>0</v>
      </c>
      <c r="V506" s="35" t="n">
        <v>0</v>
      </c>
      <c r="W506" s="35" t="n">
        <v>0</v>
      </c>
      <c r="X506" s="35" t="n">
        <v>0</v>
      </c>
      <c r="Y506" s="35" t="n">
        <v>0</v>
      </c>
      <c r="Z506" s="35" t="n">
        <v>0</v>
      </c>
      <c r="AA506" s="35" t="n">
        <v>0</v>
      </c>
      <c r="AB506" s="35" t="n">
        <v>1</v>
      </c>
      <c r="AC506" s="33" t="s">
        <v>607</v>
      </c>
      <c r="AD506" s="36" t="n">
        <f aca="false">B506-B505</f>
        <v>0.125</v>
      </c>
    </row>
    <row r="507" customFormat="false" ht="15" hidden="false" customHeight="false" outlineLevel="0" collapsed="false">
      <c r="A507" s="30" t="n">
        <v>504</v>
      </c>
      <c r="B507" s="31" t="n">
        <f aca="false">Summary!$B$5+IF(D507=1,0,IF(C507=1,Summary!$B$6,NA()))+(MATCH(1,E507:L507,0)-1)*Summary!$B$7+(MATCH(1,M507:T507,0)-1)*Summary!$B$8+(MATCH(1,U507:AB507,0)-1)*Summary!$B$9</f>
        <v>93</v>
      </c>
      <c r="C507" s="32" t="n">
        <v>0</v>
      </c>
      <c r="D507" s="32" t="n">
        <v>1</v>
      </c>
      <c r="E507" s="32" t="n">
        <v>0</v>
      </c>
      <c r="F507" s="32" t="n">
        <v>0</v>
      </c>
      <c r="G507" s="32" t="n">
        <v>0</v>
      </c>
      <c r="H507" s="32" t="n">
        <v>0</v>
      </c>
      <c r="I507" s="32" t="n">
        <v>0</v>
      </c>
      <c r="J507" s="32" t="n">
        <v>0</v>
      </c>
      <c r="K507" s="32" t="n">
        <v>0</v>
      </c>
      <c r="L507" s="32" t="n">
        <v>1</v>
      </c>
      <c r="M507" s="32" t="n">
        <v>0</v>
      </c>
      <c r="N507" s="32" t="n">
        <v>0</v>
      </c>
      <c r="O507" s="32" t="n">
        <v>0</v>
      </c>
      <c r="P507" s="32" t="n">
        <v>0</v>
      </c>
      <c r="Q507" s="32" t="n">
        <v>0</v>
      </c>
      <c r="R507" s="32" t="n">
        <v>0</v>
      </c>
      <c r="S507" s="32" t="n">
        <v>0</v>
      </c>
      <c r="T507" s="32" t="n">
        <v>1</v>
      </c>
      <c r="U507" s="32" t="n">
        <v>1</v>
      </c>
      <c r="V507" s="32" t="n">
        <v>0</v>
      </c>
      <c r="W507" s="32" t="n">
        <v>0</v>
      </c>
      <c r="X507" s="32" t="n">
        <v>0</v>
      </c>
      <c r="Y507" s="32" t="n">
        <v>0</v>
      </c>
      <c r="Z507" s="32" t="n">
        <v>0</v>
      </c>
      <c r="AA507" s="32" t="n">
        <v>0</v>
      </c>
      <c r="AB507" s="32" t="n">
        <v>0</v>
      </c>
      <c r="AC507" s="30" t="s">
        <v>608</v>
      </c>
      <c r="AD507" s="37" t="n">
        <f aca="false">B507-B506</f>
        <v>0.125</v>
      </c>
    </row>
    <row r="508" customFormat="false" ht="15" hidden="false" customHeight="false" outlineLevel="0" collapsed="false">
      <c r="A508" s="33" t="n">
        <v>505</v>
      </c>
      <c r="B508" s="34" t="n">
        <f aca="false">Summary!$B$5+IF(D508=1,0,IF(C508=1,Summary!$B$6,NA()))+(MATCH(1,E508:L508,0)-1)*Summary!$B$7+(MATCH(1,M508:T508,0)-1)*Summary!$B$8+(MATCH(1,U508:AB508,0)-1)*Summary!$B$9</f>
        <v>93.125</v>
      </c>
      <c r="C508" s="35" t="n">
        <v>0</v>
      </c>
      <c r="D508" s="35" t="n">
        <v>1</v>
      </c>
      <c r="E508" s="35" t="n">
        <v>0</v>
      </c>
      <c r="F508" s="35" t="n">
        <v>0</v>
      </c>
      <c r="G508" s="35" t="n">
        <v>0</v>
      </c>
      <c r="H508" s="35" t="n">
        <v>0</v>
      </c>
      <c r="I508" s="35" t="n">
        <v>0</v>
      </c>
      <c r="J508" s="35" t="n">
        <v>0</v>
      </c>
      <c r="K508" s="35" t="n">
        <v>0</v>
      </c>
      <c r="L508" s="35" t="n">
        <v>1</v>
      </c>
      <c r="M508" s="35" t="n">
        <v>0</v>
      </c>
      <c r="N508" s="35" t="n">
        <v>0</v>
      </c>
      <c r="O508" s="35" t="n">
        <v>0</v>
      </c>
      <c r="P508" s="35" t="n">
        <v>0</v>
      </c>
      <c r="Q508" s="35" t="n">
        <v>0</v>
      </c>
      <c r="R508" s="35" t="n">
        <v>0</v>
      </c>
      <c r="S508" s="35" t="n">
        <v>0</v>
      </c>
      <c r="T508" s="35" t="n">
        <v>1</v>
      </c>
      <c r="U508" s="35" t="n">
        <v>0</v>
      </c>
      <c r="V508" s="35" t="n">
        <v>1</v>
      </c>
      <c r="W508" s="35" t="n">
        <v>0</v>
      </c>
      <c r="X508" s="35" t="n">
        <v>0</v>
      </c>
      <c r="Y508" s="35" t="n">
        <v>0</v>
      </c>
      <c r="Z508" s="35" t="n">
        <v>0</v>
      </c>
      <c r="AA508" s="35" t="n">
        <v>0</v>
      </c>
      <c r="AB508" s="35" t="n">
        <v>0</v>
      </c>
      <c r="AC508" s="33" t="s">
        <v>609</v>
      </c>
      <c r="AD508" s="36" t="n">
        <f aca="false">B508-B507</f>
        <v>0.125</v>
      </c>
    </row>
    <row r="509" customFormat="false" ht="15" hidden="false" customHeight="false" outlineLevel="0" collapsed="false">
      <c r="A509" s="30" t="n">
        <v>506</v>
      </c>
      <c r="B509" s="31" t="n">
        <f aca="false">Summary!$B$5+IF(D509=1,0,IF(C509=1,Summary!$B$6,NA()))+(MATCH(1,E509:L509,0)-1)*Summary!$B$7+(MATCH(1,M509:T509,0)-1)*Summary!$B$8+(MATCH(1,U509:AB509,0)-1)*Summary!$B$9</f>
        <v>93.25</v>
      </c>
      <c r="C509" s="32" t="n">
        <v>0</v>
      </c>
      <c r="D509" s="32" t="n">
        <v>1</v>
      </c>
      <c r="E509" s="32" t="n">
        <v>0</v>
      </c>
      <c r="F509" s="32" t="n">
        <v>0</v>
      </c>
      <c r="G509" s="32" t="n">
        <v>0</v>
      </c>
      <c r="H509" s="32" t="n">
        <v>0</v>
      </c>
      <c r="I509" s="32" t="n">
        <v>0</v>
      </c>
      <c r="J509" s="32" t="n">
        <v>0</v>
      </c>
      <c r="K509" s="32" t="n">
        <v>0</v>
      </c>
      <c r="L509" s="32" t="n">
        <v>1</v>
      </c>
      <c r="M509" s="32" t="n">
        <v>0</v>
      </c>
      <c r="N509" s="32" t="n">
        <v>0</v>
      </c>
      <c r="O509" s="32" t="n">
        <v>0</v>
      </c>
      <c r="P509" s="32" t="n">
        <v>0</v>
      </c>
      <c r="Q509" s="32" t="n">
        <v>0</v>
      </c>
      <c r="R509" s="32" t="n">
        <v>0</v>
      </c>
      <c r="S509" s="32" t="n">
        <v>0</v>
      </c>
      <c r="T509" s="32" t="n">
        <v>1</v>
      </c>
      <c r="U509" s="32" t="n">
        <v>0</v>
      </c>
      <c r="V509" s="32" t="n">
        <v>0</v>
      </c>
      <c r="W509" s="32" t="n">
        <v>1</v>
      </c>
      <c r="X509" s="32" t="n">
        <v>0</v>
      </c>
      <c r="Y509" s="32" t="n">
        <v>0</v>
      </c>
      <c r="Z509" s="32" t="n">
        <v>0</v>
      </c>
      <c r="AA509" s="32" t="n">
        <v>0</v>
      </c>
      <c r="AB509" s="32" t="n">
        <v>0</v>
      </c>
      <c r="AC509" s="30" t="s">
        <v>610</v>
      </c>
      <c r="AD509" s="37" t="n">
        <f aca="false">B509-B508</f>
        <v>0.125</v>
      </c>
    </row>
    <row r="510" customFormat="false" ht="15" hidden="false" customHeight="false" outlineLevel="0" collapsed="false">
      <c r="A510" s="33" t="n">
        <v>507</v>
      </c>
      <c r="B510" s="34" t="n">
        <f aca="false">Summary!$B$5+IF(D510=1,0,IF(C510=1,Summary!$B$6,NA()))+(MATCH(1,E510:L510,0)-1)*Summary!$B$7+(MATCH(1,M510:T510,0)-1)*Summary!$B$8+(MATCH(1,U510:AB510,0)-1)*Summary!$B$9</f>
        <v>93.375</v>
      </c>
      <c r="C510" s="35" t="n">
        <v>0</v>
      </c>
      <c r="D510" s="35" t="n">
        <v>1</v>
      </c>
      <c r="E510" s="35" t="n">
        <v>0</v>
      </c>
      <c r="F510" s="35" t="n">
        <v>0</v>
      </c>
      <c r="G510" s="35" t="n">
        <v>0</v>
      </c>
      <c r="H510" s="35" t="n">
        <v>0</v>
      </c>
      <c r="I510" s="35" t="n">
        <v>0</v>
      </c>
      <c r="J510" s="35" t="n">
        <v>0</v>
      </c>
      <c r="K510" s="35" t="n">
        <v>0</v>
      </c>
      <c r="L510" s="35" t="n">
        <v>1</v>
      </c>
      <c r="M510" s="35" t="n">
        <v>0</v>
      </c>
      <c r="N510" s="35" t="n">
        <v>0</v>
      </c>
      <c r="O510" s="35" t="n">
        <v>0</v>
      </c>
      <c r="P510" s="35" t="n">
        <v>0</v>
      </c>
      <c r="Q510" s="35" t="n">
        <v>0</v>
      </c>
      <c r="R510" s="35" t="n">
        <v>0</v>
      </c>
      <c r="S510" s="35" t="n">
        <v>0</v>
      </c>
      <c r="T510" s="35" t="n">
        <v>1</v>
      </c>
      <c r="U510" s="35" t="n">
        <v>0</v>
      </c>
      <c r="V510" s="35" t="n">
        <v>0</v>
      </c>
      <c r="W510" s="35" t="n">
        <v>0</v>
      </c>
      <c r="X510" s="35" t="n">
        <v>1</v>
      </c>
      <c r="Y510" s="35" t="n">
        <v>0</v>
      </c>
      <c r="Z510" s="35" t="n">
        <v>0</v>
      </c>
      <c r="AA510" s="35" t="n">
        <v>0</v>
      </c>
      <c r="AB510" s="35" t="n">
        <v>0</v>
      </c>
      <c r="AC510" s="33" t="s">
        <v>611</v>
      </c>
      <c r="AD510" s="36" t="n">
        <f aca="false">B510-B509</f>
        <v>0.125</v>
      </c>
    </row>
    <row r="511" customFormat="false" ht="15" hidden="false" customHeight="false" outlineLevel="0" collapsed="false">
      <c r="A511" s="30" t="n">
        <v>508</v>
      </c>
      <c r="B511" s="31" t="n">
        <f aca="false">Summary!$B$5+IF(D511=1,0,IF(C511=1,Summary!$B$6,NA()))+(MATCH(1,E511:L511,0)-1)*Summary!$B$7+(MATCH(1,M511:T511,0)-1)*Summary!$B$8+(MATCH(1,U511:AB511,0)-1)*Summary!$B$9</f>
        <v>93.5</v>
      </c>
      <c r="C511" s="32" t="n">
        <v>0</v>
      </c>
      <c r="D511" s="32" t="n">
        <v>1</v>
      </c>
      <c r="E511" s="32" t="n">
        <v>0</v>
      </c>
      <c r="F511" s="32" t="n">
        <v>0</v>
      </c>
      <c r="G511" s="32" t="n">
        <v>0</v>
      </c>
      <c r="H511" s="32" t="n">
        <v>0</v>
      </c>
      <c r="I511" s="32" t="n">
        <v>0</v>
      </c>
      <c r="J511" s="32" t="n">
        <v>0</v>
      </c>
      <c r="K511" s="32" t="n">
        <v>0</v>
      </c>
      <c r="L511" s="32" t="n">
        <v>1</v>
      </c>
      <c r="M511" s="32" t="n">
        <v>0</v>
      </c>
      <c r="N511" s="32" t="n">
        <v>0</v>
      </c>
      <c r="O511" s="32" t="n">
        <v>0</v>
      </c>
      <c r="P511" s="32" t="n">
        <v>0</v>
      </c>
      <c r="Q511" s="32" t="n">
        <v>0</v>
      </c>
      <c r="R511" s="32" t="n">
        <v>0</v>
      </c>
      <c r="S511" s="32" t="n">
        <v>0</v>
      </c>
      <c r="T511" s="32" t="n">
        <v>1</v>
      </c>
      <c r="U511" s="32" t="n">
        <v>0</v>
      </c>
      <c r="V511" s="32" t="n">
        <v>0</v>
      </c>
      <c r="W511" s="32" t="n">
        <v>0</v>
      </c>
      <c r="X511" s="32" t="n">
        <v>0</v>
      </c>
      <c r="Y511" s="32" t="n">
        <v>1</v>
      </c>
      <c r="Z511" s="32" t="n">
        <v>0</v>
      </c>
      <c r="AA511" s="32" t="n">
        <v>0</v>
      </c>
      <c r="AB511" s="32" t="n">
        <v>0</v>
      </c>
      <c r="AC511" s="30" t="s">
        <v>612</v>
      </c>
      <c r="AD511" s="37" t="n">
        <f aca="false">B511-B510</f>
        <v>0.125</v>
      </c>
    </row>
    <row r="512" customFormat="false" ht="15" hidden="false" customHeight="false" outlineLevel="0" collapsed="false">
      <c r="A512" s="33" t="n">
        <v>509</v>
      </c>
      <c r="B512" s="34" t="n">
        <f aca="false">Summary!$B$5+IF(D512=1,0,IF(C512=1,Summary!$B$6,NA()))+(MATCH(1,E512:L512,0)-1)*Summary!$B$7+(MATCH(1,M512:T512,0)-1)*Summary!$B$8+(MATCH(1,U512:AB512,0)-1)*Summary!$B$9</f>
        <v>93.625</v>
      </c>
      <c r="C512" s="35" t="n">
        <v>0</v>
      </c>
      <c r="D512" s="35" t="n">
        <v>1</v>
      </c>
      <c r="E512" s="35" t="n">
        <v>0</v>
      </c>
      <c r="F512" s="35" t="n">
        <v>0</v>
      </c>
      <c r="G512" s="35" t="n">
        <v>0</v>
      </c>
      <c r="H512" s="35" t="n">
        <v>0</v>
      </c>
      <c r="I512" s="35" t="n">
        <v>0</v>
      </c>
      <c r="J512" s="35" t="n">
        <v>0</v>
      </c>
      <c r="K512" s="35" t="n">
        <v>0</v>
      </c>
      <c r="L512" s="35" t="n">
        <v>1</v>
      </c>
      <c r="M512" s="35" t="n">
        <v>0</v>
      </c>
      <c r="N512" s="35" t="n">
        <v>0</v>
      </c>
      <c r="O512" s="35" t="n">
        <v>0</v>
      </c>
      <c r="P512" s="35" t="n">
        <v>0</v>
      </c>
      <c r="Q512" s="35" t="n">
        <v>0</v>
      </c>
      <c r="R512" s="35" t="n">
        <v>0</v>
      </c>
      <c r="S512" s="35" t="n">
        <v>0</v>
      </c>
      <c r="T512" s="35" t="n">
        <v>1</v>
      </c>
      <c r="U512" s="35" t="n">
        <v>0</v>
      </c>
      <c r="V512" s="35" t="n">
        <v>0</v>
      </c>
      <c r="W512" s="35" t="n">
        <v>0</v>
      </c>
      <c r="X512" s="35" t="n">
        <v>0</v>
      </c>
      <c r="Y512" s="35" t="n">
        <v>0</v>
      </c>
      <c r="Z512" s="35" t="n">
        <v>1</v>
      </c>
      <c r="AA512" s="35" t="n">
        <v>0</v>
      </c>
      <c r="AB512" s="35" t="n">
        <v>0</v>
      </c>
      <c r="AC512" s="33" t="s">
        <v>613</v>
      </c>
      <c r="AD512" s="36" t="n">
        <f aca="false">B512-B511</f>
        <v>0.125</v>
      </c>
    </row>
    <row r="513" customFormat="false" ht="15" hidden="false" customHeight="false" outlineLevel="0" collapsed="false">
      <c r="A513" s="30" t="n">
        <v>510</v>
      </c>
      <c r="B513" s="31" t="n">
        <f aca="false">Summary!$B$5+IF(D513=1,0,IF(C513=1,Summary!$B$6,NA()))+(MATCH(1,E513:L513,0)-1)*Summary!$B$7+(MATCH(1,M513:T513,0)-1)*Summary!$B$8+(MATCH(1,U513:AB513,0)-1)*Summary!$B$9</f>
        <v>93.75</v>
      </c>
      <c r="C513" s="32" t="n">
        <v>0</v>
      </c>
      <c r="D513" s="32" t="n">
        <v>1</v>
      </c>
      <c r="E513" s="32" t="n">
        <v>0</v>
      </c>
      <c r="F513" s="32" t="n">
        <v>0</v>
      </c>
      <c r="G513" s="32" t="n">
        <v>0</v>
      </c>
      <c r="H513" s="32" t="n">
        <v>0</v>
      </c>
      <c r="I513" s="32" t="n">
        <v>0</v>
      </c>
      <c r="J513" s="32" t="n">
        <v>0</v>
      </c>
      <c r="K513" s="32" t="n">
        <v>0</v>
      </c>
      <c r="L513" s="32" t="n">
        <v>1</v>
      </c>
      <c r="M513" s="32" t="n">
        <v>0</v>
      </c>
      <c r="N513" s="32" t="n">
        <v>0</v>
      </c>
      <c r="O513" s="32" t="n">
        <v>0</v>
      </c>
      <c r="P513" s="32" t="n">
        <v>0</v>
      </c>
      <c r="Q513" s="32" t="n">
        <v>0</v>
      </c>
      <c r="R513" s="32" t="n">
        <v>0</v>
      </c>
      <c r="S513" s="32" t="n">
        <v>0</v>
      </c>
      <c r="T513" s="32" t="n">
        <v>1</v>
      </c>
      <c r="U513" s="32" t="n">
        <v>0</v>
      </c>
      <c r="V513" s="32" t="n">
        <v>0</v>
      </c>
      <c r="W513" s="32" t="n">
        <v>0</v>
      </c>
      <c r="X513" s="32" t="n">
        <v>0</v>
      </c>
      <c r="Y513" s="32" t="n">
        <v>0</v>
      </c>
      <c r="Z513" s="32" t="n">
        <v>0</v>
      </c>
      <c r="AA513" s="32" t="n">
        <v>1</v>
      </c>
      <c r="AB513" s="32" t="n">
        <v>0</v>
      </c>
      <c r="AC513" s="30" t="s">
        <v>614</v>
      </c>
      <c r="AD513" s="37" t="n">
        <f aca="false">B513-B512</f>
        <v>0.125</v>
      </c>
    </row>
    <row r="514" customFormat="false" ht="15" hidden="false" customHeight="false" outlineLevel="0" collapsed="false">
      <c r="A514" s="33" t="n">
        <v>511</v>
      </c>
      <c r="B514" s="34" t="n">
        <f aca="false">Summary!$B$5+IF(D514=1,0,IF(C514=1,Summary!$B$6,NA()))+(MATCH(1,E514:L514,0)-1)*Summary!$B$7+(MATCH(1,M514:T514,0)-1)*Summary!$B$8+(MATCH(1,U514:AB514,0)-1)*Summary!$B$9</f>
        <v>93.875</v>
      </c>
      <c r="C514" s="35" t="n">
        <v>0</v>
      </c>
      <c r="D514" s="35" t="n">
        <v>1</v>
      </c>
      <c r="E514" s="35" t="n">
        <v>0</v>
      </c>
      <c r="F514" s="35" t="n">
        <v>0</v>
      </c>
      <c r="G514" s="35" t="n">
        <v>0</v>
      </c>
      <c r="H514" s="35" t="n">
        <v>0</v>
      </c>
      <c r="I514" s="35" t="n">
        <v>0</v>
      </c>
      <c r="J514" s="35" t="n">
        <v>0</v>
      </c>
      <c r="K514" s="35" t="n">
        <v>0</v>
      </c>
      <c r="L514" s="35" t="n">
        <v>1</v>
      </c>
      <c r="M514" s="35" t="n">
        <v>0</v>
      </c>
      <c r="N514" s="35" t="n">
        <v>0</v>
      </c>
      <c r="O514" s="35" t="n">
        <v>0</v>
      </c>
      <c r="P514" s="35" t="n">
        <v>0</v>
      </c>
      <c r="Q514" s="35" t="n">
        <v>0</v>
      </c>
      <c r="R514" s="35" t="n">
        <v>0</v>
      </c>
      <c r="S514" s="35" t="n">
        <v>0</v>
      </c>
      <c r="T514" s="35" t="n">
        <v>1</v>
      </c>
      <c r="U514" s="35" t="n">
        <v>0</v>
      </c>
      <c r="V514" s="35" t="n">
        <v>0</v>
      </c>
      <c r="W514" s="35" t="n">
        <v>0</v>
      </c>
      <c r="X514" s="35" t="n">
        <v>0</v>
      </c>
      <c r="Y514" s="35" t="n">
        <v>0</v>
      </c>
      <c r="Z514" s="35" t="n">
        <v>0</v>
      </c>
      <c r="AA514" s="35" t="n">
        <v>0</v>
      </c>
      <c r="AB514" s="35" t="n">
        <v>1</v>
      </c>
      <c r="AC514" s="33" t="s">
        <v>615</v>
      </c>
      <c r="AD514" s="36" t="n">
        <f aca="false">B514-B513</f>
        <v>0.125</v>
      </c>
    </row>
    <row r="515" customFormat="false" ht="15" hidden="false" customHeight="false" outlineLevel="0" collapsed="false">
      <c r="A515" s="30" t="n">
        <v>512</v>
      </c>
      <c r="B515" s="31" t="n">
        <f aca="false">Summary!$B$5+IF(D515=1,0,IF(C515=1,Summary!$B$6,NA()))+(MATCH(1,E515:L515,0)-1)*Summary!$B$7+(MATCH(1,M515:T515,0)-1)*Summary!$B$8+(MATCH(1,U515:AB515,0)-1)*Summary!$B$9</f>
        <v>94</v>
      </c>
      <c r="C515" s="32" t="n">
        <v>1</v>
      </c>
      <c r="D515" s="32" t="n">
        <v>0</v>
      </c>
      <c r="E515" s="32" t="n">
        <v>0</v>
      </c>
      <c r="F515" s="32" t="n">
        <v>0</v>
      </c>
      <c r="G515" s="32" t="n">
        <v>0</v>
      </c>
      <c r="H515" s="32" t="n">
        <v>0</v>
      </c>
      <c r="I515" s="32" t="n">
        <v>1</v>
      </c>
      <c r="J515" s="32" t="n">
        <v>0</v>
      </c>
      <c r="K515" s="32" t="n">
        <v>0</v>
      </c>
      <c r="L515" s="32" t="n">
        <v>0</v>
      </c>
      <c r="M515" s="32" t="n">
        <v>1</v>
      </c>
      <c r="N515" s="32" t="n">
        <v>0</v>
      </c>
      <c r="O515" s="32" t="n">
        <v>0</v>
      </c>
      <c r="P515" s="32" t="n">
        <v>0</v>
      </c>
      <c r="Q515" s="32" t="n">
        <v>0</v>
      </c>
      <c r="R515" s="32" t="n">
        <v>0</v>
      </c>
      <c r="S515" s="32" t="n">
        <v>0</v>
      </c>
      <c r="T515" s="32" t="n">
        <v>0</v>
      </c>
      <c r="U515" s="32" t="n">
        <v>1</v>
      </c>
      <c r="V515" s="32" t="n">
        <v>0</v>
      </c>
      <c r="W515" s="32" t="n">
        <v>0</v>
      </c>
      <c r="X515" s="32" t="n">
        <v>0</v>
      </c>
      <c r="Y515" s="32" t="n">
        <v>0</v>
      </c>
      <c r="Z515" s="32" t="n">
        <v>0</v>
      </c>
      <c r="AA515" s="32" t="n">
        <v>0</v>
      </c>
      <c r="AB515" s="32" t="n">
        <v>0</v>
      </c>
      <c r="AC515" s="30" t="s">
        <v>616</v>
      </c>
      <c r="AD515" s="37" t="n">
        <f aca="false">B515-B514</f>
        <v>0.125</v>
      </c>
    </row>
    <row r="516" customFormat="false" ht="15" hidden="false" customHeight="false" outlineLevel="0" collapsed="false">
      <c r="A516" s="33" t="n">
        <v>513</v>
      </c>
      <c r="B516" s="34" t="n">
        <f aca="false">Summary!$B$5+IF(D516=1,0,IF(C516=1,Summary!$B$6,NA()))+(MATCH(1,E516:L516,0)-1)*Summary!$B$7+(MATCH(1,M516:T516,0)-1)*Summary!$B$8+(MATCH(1,U516:AB516,0)-1)*Summary!$B$9</f>
        <v>94.125</v>
      </c>
      <c r="C516" s="35" t="n">
        <v>1</v>
      </c>
      <c r="D516" s="35" t="n">
        <v>0</v>
      </c>
      <c r="E516" s="35" t="n">
        <v>0</v>
      </c>
      <c r="F516" s="35" t="n">
        <v>0</v>
      </c>
      <c r="G516" s="35" t="n">
        <v>0</v>
      </c>
      <c r="H516" s="35" t="n">
        <v>0</v>
      </c>
      <c r="I516" s="35" t="n">
        <v>1</v>
      </c>
      <c r="J516" s="35" t="n">
        <v>0</v>
      </c>
      <c r="K516" s="35" t="n">
        <v>0</v>
      </c>
      <c r="L516" s="35" t="n">
        <v>0</v>
      </c>
      <c r="M516" s="35" t="n">
        <v>1</v>
      </c>
      <c r="N516" s="35" t="n">
        <v>0</v>
      </c>
      <c r="O516" s="35" t="n">
        <v>0</v>
      </c>
      <c r="P516" s="35" t="n">
        <v>0</v>
      </c>
      <c r="Q516" s="35" t="n">
        <v>0</v>
      </c>
      <c r="R516" s="35" t="n">
        <v>0</v>
      </c>
      <c r="S516" s="35" t="n">
        <v>0</v>
      </c>
      <c r="T516" s="35" t="n">
        <v>0</v>
      </c>
      <c r="U516" s="35" t="n">
        <v>0</v>
      </c>
      <c r="V516" s="35" t="n">
        <v>1</v>
      </c>
      <c r="W516" s="35" t="n">
        <v>0</v>
      </c>
      <c r="X516" s="35" t="n">
        <v>0</v>
      </c>
      <c r="Y516" s="35" t="n">
        <v>0</v>
      </c>
      <c r="Z516" s="35" t="n">
        <v>0</v>
      </c>
      <c r="AA516" s="35" t="n">
        <v>0</v>
      </c>
      <c r="AB516" s="35" t="n">
        <v>0</v>
      </c>
      <c r="AC516" s="33" t="s">
        <v>617</v>
      </c>
      <c r="AD516" s="36" t="n">
        <f aca="false">B516-B515</f>
        <v>0.125</v>
      </c>
    </row>
    <row r="517" customFormat="false" ht="15" hidden="false" customHeight="false" outlineLevel="0" collapsed="false">
      <c r="A517" s="30" t="n">
        <v>514</v>
      </c>
      <c r="B517" s="31" t="n">
        <f aca="false">Summary!$B$5+IF(D517=1,0,IF(C517=1,Summary!$B$6,NA()))+(MATCH(1,E517:L517,0)-1)*Summary!$B$7+(MATCH(1,M517:T517,0)-1)*Summary!$B$8+(MATCH(1,U517:AB517,0)-1)*Summary!$B$9</f>
        <v>94.25</v>
      </c>
      <c r="C517" s="32" t="n">
        <v>1</v>
      </c>
      <c r="D517" s="32" t="n">
        <v>0</v>
      </c>
      <c r="E517" s="32" t="n">
        <v>0</v>
      </c>
      <c r="F517" s="32" t="n">
        <v>0</v>
      </c>
      <c r="G517" s="32" t="n">
        <v>0</v>
      </c>
      <c r="H517" s="32" t="n">
        <v>0</v>
      </c>
      <c r="I517" s="32" t="n">
        <v>1</v>
      </c>
      <c r="J517" s="32" t="n">
        <v>0</v>
      </c>
      <c r="K517" s="32" t="n">
        <v>0</v>
      </c>
      <c r="L517" s="32" t="n">
        <v>0</v>
      </c>
      <c r="M517" s="32" t="n">
        <v>1</v>
      </c>
      <c r="N517" s="32" t="n">
        <v>0</v>
      </c>
      <c r="O517" s="32" t="n">
        <v>0</v>
      </c>
      <c r="P517" s="32" t="n">
        <v>0</v>
      </c>
      <c r="Q517" s="32" t="n">
        <v>0</v>
      </c>
      <c r="R517" s="32" t="n">
        <v>0</v>
      </c>
      <c r="S517" s="32" t="n">
        <v>0</v>
      </c>
      <c r="T517" s="32" t="n">
        <v>0</v>
      </c>
      <c r="U517" s="32" t="n">
        <v>0</v>
      </c>
      <c r="V517" s="32" t="n">
        <v>0</v>
      </c>
      <c r="W517" s="32" t="n">
        <v>1</v>
      </c>
      <c r="X517" s="32" t="n">
        <v>0</v>
      </c>
      <c r="Y517" s="32" t="n">
        <v>0</v>
      </c>
      <c r="Z517" s="32" t="n">
        <v>0</v>
      </c>
      <c r="AA517" s="32" t="n">
        <v>0</v>
      </c>
      <c r="AB517" s="32" t="n">
        <v>0</v>
      </c>
      <c r="AC517" s="30" t="s">
        <v>618</v>
      </c>
      <c r="AD517" s="37" t="n">
        <f aca="false">B517-B516</f>
        <v>0.125</v>
      </c>
    </row>
    <row r="518" customFormat="false" ht="15" hidden="false" customHeight="false" outlineLevel="0" collapsed="false">
      <c r="A518" s="33" t="n">
        <v>515</v>
      </c>
      <c r="B518" s="34" t="n">
        <f aca="false">Summary!$B$5+IF(D518=1,0,IF(C518=1,Summary!$B$6,NA()))+(MATCH(1,E518:L518,0)-1)*Summary!$B$7+(MATCH(1,M518:T518,0)-1)*Summary!$B$8+(MATCH(1,U518:AB518,0)-1)*Summary!$B$9</f>
        <v>94.375</v>
      </c>
      <c r="C518" s="35" t="n">
        <v>1</v>
      </c>
      <c r="D518" s="35" t="n">
        <v>0</v>
      </c>
      <c r="E518" s="35" t="n">
        <v>0</v>
      </c>
      <c r="F518" s="35" t="n">
        <v>0</v>
      </c>
      <c r="G518" s="35" t="n">
        <v>0</v>
      </c>
      <c r="H518" s="35" t="n">
        <v>0</v>
      </c>
      <c r="I518" s="35" t="n">
        <v>1</v>
      </c>
      <c r="J518" s="35" t="n">
        <v>0</v>
      </c>
      <c r="K518" s="35" t="n">
        <v>0</v>
      </c>
      <c r="L518" s="35" t="n">
        <v>0</v>
      </c>
      <c r="M518" s="35" t="n">
        <v>1</v>
      </c>
      <c r="N518" s="35" t="n">
        <v>0</v>
      </c>
      <c r="O518" s="35" t="n">
        <v>0</v>
      </c>
      <c r="P518" s="35" t="n">
        <v>0</v>
      </c>
      <c r="Q518" s="35" t="n">
        <v>0</v>
      </c>
      <c r="R518" s="35" t="n">
        <v>0</v>
      </c>
      <c r="S518" s="35" t="n">
        <v>0</v>
      </c>
      <c r="T518" s="35" t="n">
        <v>0</v>
      </c>
      <c r="U518" s="35" t="n">
        <v>0</v>
      </c>
      <c r="V518" s="35" t="n">
        <v>0</v>
      </c>
      <c r="W518" s="35" t="n">
        <v>0</v>
      </c>
      <c r="X518" s="35" t="n">
        <v>1</v>
      </c>
      <c r="Y518" s="35" t="n">
        <v>0</v>
      </c>
      <c r="Z518" s="35" t="n">
        <v>0</v>
      </c>
      <c r="AA518" s="35" t="n">
        <v>0</v>
      </c>
      <c r="AB518" s="35" t="n">
        <v>0</v>
      </c>
      <c r="AC518" s="33" t="s">
        <v>619</v>
      </c>
      <c r="AD518" s="36" t="n">
        <f aca="false">B518-B517</f>
        <v>0.125</v>
      </c>
    </row>
    <row r="519" customFormat="false" ht="15" hidden="false" customHeight="false" outlineLevel="0" collapsed="false">
      <c r="A519" s="30" t="n">
        <v>516</v>
      </c>
      <c r="B519" s="31" t="n">
        <f aca="false">Summary!$B$5+IF(D519=1,0,IF(C519=1,Summary!$B$6,NA()))+(MATCH(1,E519:L519,0)-1)*Summary!$B$7+(MATCH(1,M519:T519,0)-1)*Summary!$B$8+(MATCH(1,U519:AB519,0)-1)*Summary!$B$9</f>
        <v>94.5</v>
      </c>
      <c r="C519" s="32" t="n">
        <v>1</v>
      </c>
      <c r="D519" s="32" t="n">
        <v>0</v>
      </c>
      <c r="E519" s="32" t="n">
        <v>0</v>
      </c>
      <c r="F519" s="32" t="n">
        <v>0</v>
      </c>
      <c r="G519" s="32" t="n">
        <v>0</v>
      </c>
      <c r="H519" s="32" t="n">
        <v>0</v>
      </c>
      <c r="I519" s="32" t="n">
        <v>1</v>
      </c>
      <c r="J519" s="32" t="n">
        <v>0</v>
      </c>
      <c r="K519" s="32" t="n">
        <v>0</v>
      </c>
      <c r="L519" s="32" t="n">
        <v>0</v>
      </c>
      <c r="M519" s="32" t="n">
        <v>1</v>
      </c>
      <c r="N519" s="32" t="n">
        <v>0</v>
      </c>
      <c r="O519" s="32" t="n">
        <v>0</v>
      </c>
      <c r="P519" s="32" t="n">
        <v>0</v>
      </c>
      <c r="Q519" s="32" t="n">
        <v>0</v>
      </c>
      <c r="R519" s="32" t="n">
        <v>0</v>
      </c>
      <c r="S519" s="32" t="n">
        <v>0</v>
      </c>
      <c r="T519" s="32" t="n">
        <v>0</v>
      </c>
      <c r="U519" s="32" t="n">
        <v>0</v>
      </c>
      <c r="V519" s="32" t="n">
        <v>0</v>
      </c>
      <c r="W519" s="32" t="n">
        <v>0</v>
      </c>
      <c r="X519" s="32" t="n">
        <v>0</v>
      </c>
      <c r="Y519" s="32" t="n">
        <v>1</v>
      </c>
      <c r="Z519" s="32" t="n">
        <v>0</v>
      </c>
      <c r="AA519" s="32" t="n">
        <v>0</v>
      </c>
      <c r="AB519" s="32" t="n">
        <v>0</v>
      </c>
      <c r="AC519" s="30" t="s">
        <v>620</v>
      </c>
      <c r="AD519" s="37" t="n">
        <f aca="false">B519-B518</f>
        <v>0.125</v>
      </c>
    </row>
    <row r="520" customFormat="false" ht="15" hidden="false" customHeight="false" outlineLevel="0" collapsed="false">
      <c r="A520" s="33" t="n">
        <v>517</v>
      </c>
      <c r="B520" s="34" t="n">
        <f aca="false">Summary!$B$5+IF(D520=1,0,IF(C520=1,Summary!$B$6,NA()))+(MATCH(1,E520:L520,0)-1)*Summary!$B$7+(MATCH(1,M520:T520,0)-1)*Summary!$B$8+(MATCH(1,U520:AB520,0)-1)*Summary!$B$9</f>
        <v>94.625</v>
      </c>
      <c r="C520" s="35" t="n">
        <v>1</v>
      </c>
      <c r="D520" s="35" t="n">
        <v>0</v>
      </c>
      <c r="E520" s="35" t="n">
        <v>0</v>
      </c>
      <c r="F520" s="35" t="n">
        <v>0</v>
      </c>
      <c r="G520" s="35" t="n">
        <v>0</v>
      </c>
      <c r="H520" s="35" t="n">
        <v>0</v>
      </c>
      <c r="I520" s="35" t="n">
        <v>1</v>
      </c>
      <c r="J520" s="35" t="n">
        <v>0</v>
      </c>
      <c r="K520" s="35" t="n">
        <v>0</v>
      </c>
      <c r="L520" s="35" t="n">
        <v>0</v>
      </c>
      <c r="M520" s="35" t="n">
        <v>1</v>
      </c>
      <c r="N520" s="35" t="n">
        <v>0</v>
      </c>
      <c r="O520" s="35" t="n">
        <v>0</v>
      </c>
      <c r="P520" s="35" t="n">
        <v>0</v>
      </c>
      <c r="Q520" s="35" t="n">
        <v>0</v>
      </c>
      <c r="R520" s="35" t="n">
        <v>0</v>
      </c>
      <c r="S520" s="35" t="n">
        <v>0</v>
      </c>
      <c r="T520" s="35" t="n">
        <v>0</v>
      </c>
      <c r="U520" s="35" t="n">
        <v>0</v>
      </c>
      <c r="V520" s="35" t="n">
        <v>0</v>
      </c>
      <c r="W520" s="35" t="n">
        <v>0</v>
      </c>
      <c r="X520" s="35" t="n">
        <v>0</v>
      </c>
      <c r="Y520" s="35" t="n">
        <v>0</v>
      </c>
      <c r="Z520" s="35" t="n">
        <v>1</v>
      </c>
      <c r="AA520" s="35" t="n">
        <v>0</v>
      </c>
      <c r="AB520" s="35" t="n">
        <v>0</v>
      </c>
      <c r="AC520" s="33" t="s">
        <v>621</v>
      </c>
      <c r="AD520" s="36" t="n">
        <f aca="false">B520-B519</f>
        <v>0.125</v>
      </c>
    </row>
    <row r="521" customFormat="false" ht="15" hidden="false" customHeight="false" outlineLevel="0" collapsed="false">
      <c r="A521" s="30" t="n">
        <v>518</v>
      </c>
      <c r="B521" s="31" t="n">
        <f aca="false">Summary!$B$5+IF(D521=1,0,IF(C521=1,Summary!$B$6,NA()))+(MATCH(1,E521:L521,0)-1)*Summary!$B$7+(MATCH(1,M521:T521,0)-1)*Summary!$B$8+(MATCH(1,U521:AB521,0)-1)*Summary!$B$9</f>
        <v>94.75</v>
      </c>
      <c r="C521" s="32" t="n">
        <v>1</v>
      </c>
      <c r="D521" s="32" t="n">
        <v>0</v>
      </c>
      <c r="E521" s="32" t="n">
        <v>0</v>
      </c>
      <c r="F521" s="32" t="n">
        <v>0</v>
      </c>
      <c r="G521" s="32" t="n">
        <v>0</v>
      </c>
      <c r="H521" s="32" t="n">
        <v>0</v>
      </c>
      <c r="I521" s="32" t="n">
        <v>1</v>
      </c>
      <c r="J521" s="32" t="n">
        <v>0</v>
      </c>
      <c r="K521" s="32" t="n">
        <v>0</v>
      </c>
      <c r="L521" s="32" t="n">
        <v>0</v>
      </c>
      <c r="M521" s="32" t="n">
        <v>1</v>
      </c>
      <c r="N521" s="32" t="n">
        <v>0</v>
      </c>
      <c r="O521" s="32" t="n">
        <v>0</v>
      </c>
      <c r="P521" s="32" t="n">
        <v>0</v>
      </c>
      <c r="Q521" s="32" t="n">
        <v>0</v>
      </c>
      <c r="R521" s="32" t="n">
        <v>0</v>
      </c>
      <c r="S521" s="32" t="n">
        <v>0</v>
      </c>
      <c r="T521" s="32" t="n">
        <v>0</v>
      </c>
      <c r="U521" s="32" t="n">
        <v>0</v>
      </c>
      <c r="V521" s="32" t="n">
        <v>0</v>
      </c>
      <c r="W521" s="32" t="n">
        <v>0</v>
      </c>
      <c r="X521" s="32" t="n">
        <v>0</v>
      </c>
      <c r="Y521" s="32" t="n">
        <v>0</v>
      </c>
      <c r="Z521" s="32" t="n">
        <v>0</v>
      </c>
      <c r="AA521" s="32" t="n">
        <v>1</v>
      </c>
      <c r="AB521" s="32" t="n">
        <v>0</v>
      </c>
      <c r="AC521" s="30" t="s">
        <v>622</v>
      </c>
      <c r="AD521" s="37" t="n">
        <f aca="false">B521-B520</f>
        <v>0.125</v>
      </c>
    </row>
    <row r="522" customFormat="false" ht="15" hidden="false" customHeight="false" outlineLevel="0" collapsed="false">
      <c r="A522" s="33" t="n">
        <v>519</v>
      </c>
      <c r="B522" s="34" t="n">
        <f aca="false">Summary!$B$5+IF(D522=1,0,IF(C522=1,Summary!$B$6,NA()))+(MATCH(1,E522:L522,0)-1)*Summary!$B$7+(MATCH(1,M522:T522,0)-1)*Summary!$B$8+(MATCH(1,U522:AB522,0)-1)*Summary!$B$9</f>
        <v>94.875</v>
      </c>
      <c r="C522" s="35" t="n">
        <v>1</v>
      </c>
      <c r="D522" s="35" t="n">
        <v>0</v>
      </c>
      <c r="E522" s="35" t="n">
        <v>0</v>
      </c>
      <c r="F522" s="35" t="n">
        <v>0</v>
      </c>
      <c r="G522" s="35" t="n">
        <v>0</v>
      </c>
      <c r="H522" s="35" t="n">
        <v>0</v>
      </c>
      <c r="I522" s="35" t="n">
        <v>1</v>
      </c>
      <c r="J522" s="35" t="n">
        <v>0</v>
      </c>
      <c r="K522" s="35" t="n">
        <v>0</v>
      </c>
      <c r="L522" s="35" t="n">
        <v>0</v>
      </c>
      <c r="M522" s="35" t="n">
        <v>1</v>
      </c>
      <c r="N522" s="35" t="n">
        <v>0</v>
      </c>
      <c r="O522" s="35" t="n">
        <v>0</v>
      </c>
      <c r="P522" s="35" t="n">
        <v>0</v>
      </c>
      <c r="Q522" s="35" t="n">
        <v>0</v>
      </c>
      <c r="R522" s="35" t="n">
        <v>0</v>
      </c>
      <c r="S522" s="35" t="n">
        <v>0</v>
      </c>
      <c r="T522" s="35" t="n">
        <v>0</v>
      </c>
      <c r="U522" s="35" t="n">
        <v>0</v>
      </c>
      <c r="V522" s="35" t="n">
        <v>0</v>
      </c>
      <c r="W522" s="35" t="n">
        <v>0</v>
      </c>
      <c r="X522" s="35" t="n">
        <v>0</v>
      </c>
      <c r="Y522" s="35" t="n">
        <v>0</v>
      </c>
      <c r="Z522" s="35" t="n">
        <v>0</v>
      </c>
      <c r="AA522" s="35" t="n">
        <v>0</v>
      </c>
      <c r="AB522" s="35" t="n">
        <v>1</v>
      </c>
      <c r="AC522" s="33" t="s">
        <v>623</v>
      </c>
      <c r="AD522" s="36" t="n">
        <f aca="false">B522-B521</f>
        <v>0.125</v>
      </c>
    </row>
    <row r="523" customFormat="false" ht="15" hidden="false" customHeight="false" outlineLevel="0" collapsed="false">
      <c r="A523" s="30" t="n">
        <v>520</v>
      </c>
      <c r="B523" s="31" t="n">
        <f aca="false">Summary!$B$5+IF(D523=1,0,IF(C523=1,Summary!$B$6,NA()))+(MATCH(1,E523:L523,0)-1)*Summary!$B$7+(MATCH(1,M523:T523,0)-1)*Summary!$B$8+(MATCH(1,U523:AB523,0)-1)*Summary!$B$9</f>
        <v>95</v>
      </c>
      <c r="C523" s="32" t="n">
        <v>1</v>
      </c>
      <c r="D523" s="32" t="n">
        <v>0</v>
      </c>
      <c r="E523" s="32" t="n">
        <v>0</v>
      </c>
      <c r="F523" s="32" t="n">
        <v>0</v>
      </c>
      <c r="G523" s="32" t="n">
        <v>0</v>
      </c>
      <c r="H523" s="32" t="n">
        <v>0</v>
      </c>
      <c r="I523" s="32" t="n">
        <v>1</v>
      </c>
      <c r="J523" s="32" t="n">
        <v>0</v>
      </c>
      <c r="K523" s="32" t="n">
        <v>0</v>
      </c>
      <c r="L523" s="32" t="n">
        <v>0</v>
      </c>
      <c r="M523" s="32" t="n">
        <v>0</v>
      </c>
      <c r="N523" s="32" t="n">
        <v>1</v>
      </c>
      <c r="O523" s="32" t="n">
        <v>0</v>
      </c>
      <c r="P523" s="32" t="n">
        <v>0</v>
      </c>
      <c r="Q523" s="32" t="n">
        <v>0</v>
      </c>
      <c r="R523" s="32" t="n">
        <v>0</v>
      </c>
      <c r="S523" s="32" t="n">
        <v>0</v>
      </c>
      <c r="T523" s="32" t="n">
        <v>0</v>
      </c>
      <c r="U523" s="32" t="n">
        <v>1</v>
      </c>
      <c r="V523" s="32" t="n">
        <v>0</v>
      </c>
      <c r="W523" s="32" t="n">
        <v>0</v>
      </c>
      <c r="X523" s="32" t="n">
        <v>0</v>
      </c>
      <c r="Y523" s="32" t="n">
        <v>0</v>
      </c>
      <c r="Z523" s="32" t="n">
        <v>0</v>
      </c>
      <c r="AA523" s="32" t="n">
        <v>0</v>
      </c>
      <c r="AB523" s="32" t="n">
        <v>0</v>
      </c>
      <c r="AC523" s="30" t="s">
        <v>624</v>
      </c>
      <c r="AD523" s="37" t="n">
        <f aca="false">B523-B522</f>
        <v>0.125</v>
      </c>
    </row>
    <row r="524" customFormat="false" ht="15" hidden="false" customHeight="false" outlineLevel="0" collapsed="false">
      <c r="A524" s="33" t="n">
        <v>521</v>
      </c>
      <c r="B524" s="34" t="n">
        <f aca="false">Summary!$B$5+IF(D524=1,0,IF(C524=1,Summary!$B$6,NA()))+(MATCH(1,E524:L524,0)-1)*Summary!$B$7+(MATCH(1,M524:T524,0)-1)*Summary!$B$8+(MATCH(1,U524:AB524,0)-1)*Summary!$B$9</f>
        <v>95.125</v>
      </c>
      <c r="C524" s="35" t="n">
        <v>1</v>
      </c>
      <c r="D524" s="35" t="n">
        <v>0</v>
      </c>
      <c r="E524" s="35" t="n">
        <v>0</v>
      </c>
      <c r="F524" s="35" t="n">
        <v>0</v>
      </c>
      <c r="G524" s="35" t="n">
        <v>0</v>
      </c>
      <c r="H524" s="35" t="n">
        <v>0</v>
      </c>
      <c r="I524" s="35" t="n">
        <v>1</v>
      </c>
      <c r="J524" s="35" t="n">
        <v>0</v>
      </c>
      <c r="K524" s="35" t="n">
        <v>0</v>
      </c>
      <c r="L524" s="35" t="n">
        <v>0</v>
      </c>
      <c r="M524" s="35" t="n">
        <v>0</v>
      </c>
      <c r="N524" s="35" t="n">
        <v>1</v>
      </c>
      <c r="O524" s="35" t="n">
        <v>0</v>
      </c>
      <c r="P524" s="35" t="n">
        <v>0</v>
      </c>
      <c r="Q524" s="35" t="n">
        <v>0</v>
      </c>
      <c r="R524" s="35" t="n">
        <v>0</v>
      </c>
      <c r="S524" s="35" t="n">
        <v>0</v>
      </c>
      <c r="T524" s="35" t="n">
        <v>0</v>
      </c>
      <c r="U524" s="35" t="n">
        <v>0</v>
      </c>
      <c r="V524" s="35" t="n">
        <v>1</v>
      </c>
      <c r="W524" s="35" t="n">
        <v>0</v>
      </c>
      <c r="X524" s="35" t="n">
        <v>0</v>
      </c>
      <c r="Y524" s="35" t="n">
        <v>0</v>
      </c>
      <c r="Z524" s="35" t="n">
        <v>0</v>
      </c>
      <c r="AA524" s="35" t="n">
        <v>0</v>
      </c>
      <c r="AB524" s="35" t="n">
        <v>0</v>
      </c>
      <c r="AC524" s="33" t="s">
        <v>625</v>
      </c>
      <c r="AD524" s="36" t="n">
        <f aca="false">B524-B523</f>
        <v>0.125</v>
      </c>
    </row>
    <row r="525" customFormat="false" ht="15" hidden="false" customHeight="false" outlineLevel="0" collapsed="false">
      <c r="A525" s="30" t="n">
        <v>522</v>
      </c>
      <c r="B525" s="31" t="n">
        <f aca="false">Summary!$B$5+IF(D525=1,0,IF(C525=1,Summary!$B$6,NA()))+(MATCH(1,E525:L525,0)-1)*Summary!$B$7+(MATCH(1,M525:T525,0)-1)*Summary!$B$8+(MATCH(1,U525:AB525,0)-1)*Summary!$B$9</f>
        <v>95.25</v>
      </c>
      <c r="C525" s="32" t="n">
        <v>1</v>
      </c>
      <c r="D525" s="32" t="n">
        <v>0</v>
      </c>
      <c r="E525" s="32" t="n">
        <v>0</v>
      </c>
      <c r="F525" s="32" t="n">
        <v>0</v>
      </c>
      <c r="G525" s="32" t="n">
        <v>0</v>
      </c>
      <c r="H525" s="32" t="n">
        <v>0</v>
      </c>
      <c r="I525" s="32" t="n">
        <v>1</v>
      </c>
      <c r="J525" s="32" t="n">
        <v>0</v>
      </c>
      <c r="K525" s="32" t="n">
        <v>0</v>
      </c>
      <c r="L525" s="32" t="n">
        <v>0</v>
      </c>
      <c r="M525" s="32" t="n">
        <v>0</v>
      </c>
      <c r="N525" s="32" t="n">
        <v>1</v>
      </c>
      <c r="O525" s="32" t="n">
        <v>0</v>
      </c>
      <c r="P525" s="32" t="n">
        <v>0</v>
      </c>
      <c r="Q525" s="32" t="n">
        <v>0</v>
      </c>
      <c r="R525" s="32" t="n">
        <v>0</v>
      </c>
      <c r="S525" s="32" t="n">
        <v>0</v>
      </c>
      <c r="T525" s="32" t="n">
        <v>0</v>
      </c>
      <c r="U525" s="32" t="n">
        <v>0</v>
      </c>
      <c r="V525" s="32" t="n">
        <v>0</v>
      </c>
      <c r="W525" s="32" t="n">
        <v>1</v>
      </c>
      <c r="X525" s="32" t="n">
        <v>0</v>
      </c>
      <c r="Y525" s="32" t="n">
        <v>0</v>
      </c>
      <c r="Z525" s="32" t="n">
        <v>0</v>
      </c>
      <c r="AA525" s="32" t="n">
        <v>0</v>
      </c>
      <c r="AB525" s="32" t="n">
        <v>0</v>
      </c>
      <c r="AC525" s="30" t="s">
        <v>626</v>
      </c>
      <c r="AD525" s="37" t="n">
        <f aca="false">B525-B524</f>
        <v>0.125</v>
      </c>
    </row>
    <row r="526" customFormat="false" ht="15" hidden="false" customHeight="false" outlineLevel="0" collapsed="false">
      <c r="A526" s="33" t="n">
        <v>523</v>
      </c>
      <c r="B526" s="34" t="n">
        <f aca="false">Summary!$B$5+IF(D526=1,0,IF(C526=1,Summary!$B$6,NA()))+(MATCH(1,E526:L526,0)-1)*Summary!$B$7+(MATCH(1,M526:T526,0)-1)*Summary!$B$8+(MATCH(1,U526:AB526,0)-1)*Summary!$B$9</f>
        <v>95.375</v>
      </c>
      <c r="C526" s="35" t="n">
        <v>1</v>
      </c>
      <c r="D526" s="35" t="n">
        <v>0</v>
      </c>
      <c r="E526" s="35" t="n">
        <v>0</v>
      </c>
      <c r="F526" s="35" t="n">
        <v>0</v>
      </c>
      <c r="G526" s="35" t="n">
        <v>0</v>
      </c>
      <c r="H526" s="35" t="n">
        <v>0</v>
      </c>
      <c r="I526" s="35" t="n">
        <v>1</v>
      </c>
      <c r="J526" s="35" t="n">
        <v>0</v>
      </c>
      <c r="K526" s="35" t="n">
        <v>0</v>
      </c>
      <c r="L526" s="35" t="n">
        <v>0</v>
      </c>
      <c r="M526" s="35" t="n">
        <v>0</v>
      </c>
      <c r="N526" s="35" t="n">
        <v>1</v>
      </c>
      <c r="O526" s="35" t="n">
        <v>0</v>
      </c>
      <c r="P526" s="35" t="n">
        <v>0</v>
      </c>
      <c r="Q526" s="35" t="n">
        <v>0</v>
      </c>
      <c r="R526" s="35" t="n">
        <v>0</v>
      </c>
      <c r="S526" s="35" t="n">
        <v>0</v>
      </c>
      <c r="T526" s="35" t="n">
        <v>0</v>
      </c>
      <c r="U526" s="35" t="n">
        <v>0</v>
      </c>
      <c r="V526" s="35" t="n">
        <v>0</v>
      </c>
      <c r="W526" s="35" t="n">
        <v>0</v>
      </c>
      <c r="X526" s="35" t="n">
        <v>1</v>
      </c>
      <c r="Y526" s="35" t="n">
        <v>0</v>
      </c>
      <c r="Z526" s="35" t="n">
        <v>0</v>
      </c>
      <c r="AA526" s="35" t="n">
        <v>0</v>
      </c>
      <c r="AB526" s="35" t="n">
        <v>0</v>
      </c>
      <c r="AC526" s="33" t="s">
        <v>627</v>
      </c>
      <c r="AD526" s="36" t="n">
        <f aca="false">B526-B525</f>
        <v>0.125</v>
      </c>
    </row>
    <row r="527" customFormat="false" ht="15" hidden="false" customHeight="false" outlineLevel="0" collapsed="false">
      <c r="A527" s="30" t="n">
        <v>524</v>
      </c>
      <c r="B527" s="31" t="n">
        <f aca="false">Summary!$B$5+IF(D527=1,0,IF(C527=1,Summary!$B$6,NA()))+(MATCH(1,E527:L527,0)-1)*Summary!$B$7+(MATCH(1,M527:T527,0)-1)*Summary!$B$8+(MATCH(1,U527:AB527,0)-1)*Summary!$B$9</f>
        <v>95.5</v>
      </c>
      <c r="C527" s="32" t="n">
        <v>1</v>
      </c>
      <c r="D527" s="32" t="n">
        <v>0</v>
      </c>
      <c r="E527" s="32" t="n">
        <v>0</v>
      </c>
      <c r="F527" s="32" t="n">
        <v>0</v>
      </c>
      <c r="G527" s="32" t="n">
        <v>0</v>
      </c>
      <c r="H527" s="32" t="n">
        <v>0</v>
      </c>
      <c r="I527" s="32" t="n">
        <v>1</v>
      </c>
      <c r="J527" s="32" t="n">
        <v>0</v>
      </c>
      <c r="K527" s="32" t="n">
        <v>0</v>
      </c>
      <c r="L527" s="32" t="n">
        <v>0</v>
      </c>
      <c r="M527" s="32" t="n">
        <v>0</v>
      </c>
      <c r="N527" s="32" t="n">
        <v>1</v>
      </c>
      <c r="O527" s="32" t="n">
        <v>0</v>
      </c>
      <c r="P527" s="32" t="n">
        <v>0</v>
      </c>
      <c r="Q527" s="32" t="n">
        <v>0</v>
      </c>
      <c r="R527" s="32" t="n">
        <v>0</v>
      </c>
      <c r="S527" s="32" t="n">
        <v>0</v>
      </c>
      <c r="T527" s="32" t="n">
        <v>0</v>
      </c>
      <c r="U527" s="32" t="n">
        <v>0</v>
      </c>
      <c r="V527" s="32" t="n">
        <v>0</v>
      </c>
      <c r="W527" s="32" t="n">
        <v>0</v>
      </c>
      <c r="X527" s="32" t="n">
        <v>0</v>
      </c>
      <c r="Y527" s="32" t="n">
        <v>1</v>
      </c>
      <c r="Z527" s="32" t="n">
        <v>0</v>
      </c>
      <c r="AA527" s="32" t="n">
        <v>0</v>
      </c>
      <c r="AB527" s="32" t="n">
        <v>0</v>
      </c>
      <c r="AC527" s="30" t="s">
        <v>628</v>
      </c>
      <c r="AD527" s="37" t="n">
        <f aca="false">B527-B526</f>
        <v>0.125</v>
      </c>
    </row>
    <row r="528" customFormat="false" ht="15" hidden="false" customHeight="false" outlineLevel="0" collapsed="false">
      <c r="A528" s="33" t="n">
        <v>525</v>
      </c>
      <c r="B528" s="34" t="n">
        <f aca="false">Summary!$B$5+IF(D528=1,0,IF(C528=1,Summary!$B$6,NA()))+(MATCH(1,E528:L528,0)-1)*Summary!$B$7+(MATCH(1,M528:T528,0)-1)*Summary!$B$8+(MATCH(1,U528:AB528,0)-1)*Summary!$B$9</f>
        <v>95.625</v>
      </c>
      <c r="C528" s="35" t="n">
        <v>1</v>
      </c>
      <c r="D528" s="35" t="n">
        <v>0</v>
      </c>
      <c r="E528" s="35" t="n">
        <v>0</v>
      </c>
      <c r="F528" s="35" t="n">
        <v>0</v>
      </c>
      <c r="G528" s="35" t="n">
        <v>0</v>
      </c>
      <c r="H528" s="35" t="n">
        <v>0</v>
      </c>
      <c r="I528" s="35" t="n">
        <v>1</v>
      </c>
      <c r="J528" s="35" t="n">
        <v>0</v>
      </c>
      <c r="K528" s="35" t="n">
        <v>0</v>
      </c>
      <c r="L528" s="35" t="n">
        <v>0</v>
      </c>
      <c r="M528" s="35" t="n">
        <v>0</v>
      </c>
      <c r="N528" s="35" t="n">
        <v>1</v>
      </c>
      <c r="O528" s="35" t="n">
        <v>0</v>
      </c>
      <c r="P528" s="35" t="n">
        <v>0</v>
      </c>
      <c r="Q528" s="35" t="n">
        <v>0</v>
      </c>
      <c r="R528" s="35" t="n">
        <v>0</v>
      </c>
      <c r="S528" s="35" t="n">
        <v>0</v>
      </c>
      <c r="T528" s="35" t="n">
        <v>0</v>
      </c>
      <c r="U528" s="35" t="n">
        <v>0</v>
      </c>
      <c r="V528" s="35" t="n">
        <v>0</v>
      </c>
      <c r="W528" s="35" t="n">
        <v>0</v>
      </c>
      <c r="X528" s="35" t="n">
        <v>0</v>
      </c>
      <c r="Y528" s="35" t="n">
        <v>0</v>
      </c>
      <c r="Z528" s="35" t="n">
        <v>1</v>
      </c>
      <c r="AA528" s="35" t="n">
        <v>0</v>
      </c>
      <c r="AB528" s="35" t="n">
        <v>0</v>
      </c>
      <c r="AC528" s="33" t="s">
        <v>629</v>
      </c>
      <c r="AD528" s="36" t="n">
        <f aca="false">B528-B527</f>
        <v>0.125</v>
      </c>
    </row>
    <row r="529" customFormat="false" ht="15" hidden="false" customHeight="false" outlineLevel="0" collapsed="false">
      <c r="A529" s="30" t="n">
        <v>526</v>
      </c>
      <c r="B529" s="31" t="n">
        <f aca="false">Summary!$B$5+IF(D529=1,0,IF(C529=1,Summary!$B$6,NA()))+(MATCH(1,E529:L529,0)-1)*Summary!$B$7+(MATCH(1,M529:T529,0)-1)*Summary!$B$8+(MATCH(1,U529:AB529,0)-1)*Summary!$B$9</f>
        <v>95.75</v>
      </c>
      <c r="C529" s="32" t="n">
        <v>1</v>
      </c>
      <c r="D529" s="32" t="n">
        <v>0</v>
      </c>
      <c r="E529" s="32" t="n">
        <v>0</v>
      </c>
      <c r="F529" s="32" t="n">
        <v>0</v>
      </c>
      <c r="G529" s="32" t="n">
        <v>0</v>
      </c>
      <c r="H529" s="32" t="n">
        <v>0</v>
      </c>
      <c r="I529" s="32" t="n">
        <v>1</v>
      </c>
      <c r="J529" s="32" t="n">
        <v>0</v>
      </c>
      <c r="K529" s="32" t="n">
        <v>0</v>
      </c>
      <c r="L529" s="32" t="n">
        <v>0</v>
      </c>
      <c r="M529" s="32" t="n">
        <v>0</v>
      </c>
      <c r="N529" s="32" t="n">
        <v>1</v>
      </c>
      <c r="O529" s="32" t="n">
        <v>0</v>
      </c>
      <c r="P529" s="32" t="n">
        <v>0</v>
      </c>
      <c r="Q529" s="32" t="n">
        <v>0</v>
      </c>
      <c r="R529" s="32" t="n">
        <v>0</v>
      </c>
      <c r="S529" s="32" t="n">
        <v>0</v>
      </c>
      <c r="T529" s="32" t="n">
        <v>0</v>
      </c>
      <c r="U529" s="32" t="n">
        <v>0</v>
      </c>
      <c r="V529" s="32" t="n">
        <v>0</v>
      </c>
      <c r="W529" s="32" t="n">
        <v>0</v>
      </c>
      <c r="X529" s="32" t="n">
        <v>0</v>
      </c>
      <c r="Y529" s="32" t="n">
        <v>0</v>
      </c>
      <c r="Z529" s="32" t="n">
        <v>0</v>
      </c>
      <c r="AA529" s="32" t="n">
        <v>1</v>
      </c>
      <c r="AB529" s="32" t="n">
        <v>0</v>
      </c>
      <c r="AC529" s="30" t="s">
        <v>630</v>
      </c>
      <c r="AD529" s="37" t="n">
        <f aca="false">B529-B528</f>
        <v>0.125</v>
      </c>
    </row>
    <row r="530" customFormat="false" ht="15" hidden="false" customHeight="false" outlineLevel="0" collapsed="false">
      <c r="A530" s="33" t="n">
        <v>527</v>
      </c>
      <c r="B530" s="34" t="n">
        <f aca="false">Summary!$B$5+IF(D530=1,0,IF(C530=1,Summary!$B$6,NA()))+(MATCH(1,E530:L530,0)-1)*Summary!$B$7+(MATCH(1,M530:T530,0)-1)*Summary!$B$8+(MATCH(1,U530:AB530,0)-1)*Summary!$B$9</f>
        <v>95.875</v>
      </c>
      <c r="C530" s="35" t="n">
        <v>1</v>
      </c>
      <c r="D530" s="35" t="n">
        <v>0</v>
      </c>
      <c r="E530" s="35" t="n">
        <v>0</v>
      </c>
      <c r="F530" s="35" t="n">
        <v>0</v>
      </c>
      <c r="G530" s="35" t="n">
        <v>0</v>
      </c>
      <c r="H530" s="35" t="n">
        <v>0</v>
      </c>
      <c r="I530" s="35" t="n">
        <v>1</v>
      </c>
      <c r="J530" s="35" t="n">
        <v>0</v>
      </c>
      <c r="K530" s="35" t="n">
        <v>0</v>
      </c>
      <c r="L530" s="35" t="n">
        <v>0</v>
      </c>
      <c r="M530" s="35" t="n">
        <v>0</v>
      </c>
      <c r="N530" s="35" t="n">
        <v>1</v>
      </c>
      <c r="O530" s="35" t="n">
        <v>0</v>
      </c>
      <c r="P530" s="35" t="n">
        <v>0</v>
      </c>
      <c r="Q530" s="35" t="n">
        <v>0</v>
      </c>
      <c r="R530" s="35" t="n">
        <v>0</v>
      </c>
      <c r="S530" s="35" t="n">
        <v>0</v>
      </c>
      <c r="T530" s="35" t="n">
        <v>0</v>
      </c>
      <c r="U530" s="35" t="n">
        <v>0</v>
      </c>
      <c r="V530" s="35" t="n">
        <v>0</v>
      </c>
      <c r="W530" s="35" t="n">
        <v>0</v>
      </c>
      <c r="X530" s="35" t="n">
        <v>0</v>
      </c>
      <c r="Y530" s="35" t="n">
        <v>0</v>
      </c>
      <c r="Z530" s="35" t="n">
        <v>0</v>
      </c>
      <c r="AA530" s="35" t="n">
        <v>0</v>
      </c>
      <c r="AB530" s="35" t="n">
        <v>1</v>
      </c>
      <c r="AC530" s="33" t="s">
        <v>631</v>
      </c>
      <c r="AD530" s="36" t="n">
        <f aca="false">B530-B529</f>
        <v>0.125</v>
      </c>
    </row>
    <row r="531" customFormat="false" ht="15" hidden="false" customHeight="false" outlineLevel="0" collapsed="false">
      <c r="A531" s="30" t="n">
        <v>528</v>
      </c>
      <c r="B531" s="31" t="n">
        <f aca="false">Summary!$B$5+IF(D531=1,0,IF(C531=1,Summary!$B$6,NA()))+(MATCH(1,E531:L531,0)-1)*Summary!$B$7+(MATCH(1,M531:T531,0)-1)*Summary!$B$8+(MATCH(1,U531:AB531,0)-1)*Summary!$B$9</f>
        <v>96</v>
      </c>
      <c r="C531" s="32" t="n">
        <v>1</v>
      </c>
      <c r="D531" s="32" t="n">
        <v>0</v>
      </c>
      <c r="E531" s="32" t="n">
        <v>0</v>
      </c>
      <c r="F531" s="32" t="n">
        <v>0</v>
      </c>
      <c r="G531" s="32" t="n">
        <v>0</v>
      </c>
      <c r="H531" s="32" t="n">
        <v>0</v>
      </c>
      <c r="I531" s="32" t="n">
        <v>1</v>
      </c>
      <c r="J531" s="32" t="n">
        <v>0</v>
      </c>
      <c r="K531" s="32" t="n">
        <v>0</v>
      </c>
      <c r="L531" s="32" t="n">
        <v>0</v>
      </c>
      <c r="M531" s="32" t="n">
        <v>0</v>
      </c>
      <c r="N531" s="32" t="n">
        <v>0</v>
      </c>
      <c r="O531" s="32" t="n">
        <v>1</v>
      </c>
      <c r="P531" s="32" t="n">
        <v>0</v>
      </c>
      <c r="Q531" s="32" t="n">
        <v>0</v>
      </c>
      <c r="R531" s="32" t="n">
        <v>0</v>
      </c>
      <c r="S531" s="32" t="n">
        <v>0</v>
      </c>
      <c r="T531" s="32" t="n">
        <v>0</v>
      </c>
      <c r="U531" s="32" t="n">
        <v>1</v>
      </c>
      <c r="V531" s="32" t="n">
        <v>0</v>
      </c>
      <c r="W531" s="32" t="n">
        <v>0</v>
      </c>
      <c r="X531" s="32" t="n">
        <v>0</v>
      </c>
      <c r="Y531" s="32" t="n">
        <v>0</v>
      </c>
      <c r="Z531" s="32" t="n">
        <v>0</v>
      </c>
      <c r="AA531" s="32" t="n">
        <v>0</v>
      </c>
      <c r="AB531" s="32" t="n">
        <v>0</v>
      </c>
      <c r="AC531" s="30" t="s">
        <v>632</v>
      </c>
      <c r="AD531" s="37" t="n">
        <f aca="false">B531-B530</f>
        <v>0.125</v>
      </c>
    </row>
    <row r="532" customFormat="false" ht="15" hidden="false" customHeight="false" outlineLevel="0" collapsed="false">
      <c r="A532" s="33" t="n">
        <v>529</v>
      </c>
      <c r="B532" s="34" t="n">
        <f aca="false">Summary!$B$5+IF(D532=1,0,IF(C532=1,Summary!$B$6,NA()))+(MATCH(1,E532:L532,0)-1)*Summary!$B$7+(MATCH(1,M532:T532,0)-1)*Summary!$B$8+(MATCH(1,U532:AB532,0)-1)*Summary!$B$9</f>
        <v>96.125</v>
      </c>
      <c r="C532" s="35" t="n">
        <v>1</v>
      </c>
      <c r="D532" s="35" t="n">
        <v>0</v>
      </c>
      <c r="E532" s="35" t="n">
        <v>0</v>
      </c>
      <c r="F532" s="35" t="n">
        <v>0</v>
      </c>
      <c r="G532" s="35" t="n">
        <v>0</v>
      </c>
      <c r="H532" s="35" t="n">
        <v>0</v>
      </c>
      <c r="I532" s="35" t="n">
        <v>1</v>
      </c>
      <c r="J532" s="35" t="n">
        <v>0</v>
      </c>
      <c r="K532" s="35" t="n">
        <v>0</v>
      </c>
      <c r="L532" s="35" t="n">
        <v>0</v>
      </c>
      <c r="M532" s="35" t="n">
        <v>0</v>
      </c>
      <c r="N532" s="35" t="n">
        <v>0</v>
      </c>
      <c r="O532" s="35" t="n">
        <v>1</v>
      </c>
      <c r="P532" s="35" t="n">
        <v>0</v>
      </c>
      <c r="Q532" s="35" t="n">
        <v>0</v>
      </c>
      <c r="R532" s="35" t="n">
        <v>0</v>
      </c>
      <c r="S532" s="35" t="n">
        <v>0</v>
      </c>
      <c r="T532" s="35" t="n">
        <v>0</v>
      </c>
      <c r="U532" s="35" t="n">
        <v>0</v>
      </c>
      <c r="V532" s="35" t="n">
        <v>1</v>
      </c>
      <c r="W532" s="35" t="n">
        <v>0</v>
      </c>
      <c r="X532" s="35" t="n">
        <v>0</v>
      </c>
      <c r="Y532" s="35" t="n">
        <v>0</v>
      </c>
      <c r="Z532" s="35" t="n">
        <v>0</v>
      </c>
      <c r="AA532" s="35" t="n">
        <v>0</v>
      </c>
      <c r="AB532" s="35" t="n">
        <v>0</v>
      </c>
      <c r="AC532" s="33" t="s">
        <v>633</v>
      </c>
      <c r="AD532" s="36" t="n">
        <f aca="false">B532-B531</f>
        <v>0.125</v>
      </c>
    </row>
    <row r="533" customFormat="false" ht="15" hidden="false" customHeight="false" outlineLevel="0" collapsed="false">
      <c r="A533" s="30" t="n">
        <v>530</v>
      </c>
      <c r="B533" s="31" t="n">
        <f aca="false">Summary!$B$5+IF(D533=1,0,IF(C533=1,Summary!$B$6,NA()))+(MATCH(1,E533:L533,0)-1)*Summary!$B$7+(MATCH(1,M533:T533,0)-1)*Summary!$B$8+(MATCH(1,U533:AB533,0)-1)*Summary!$B$9</f>
        <v>96.25</v>
      </c>
      <c r="C533" s="32" t="n">
        <v>1</v>
      </c>
      <c r="D533" s="32" t="n">
        <v>0</v>
      </c>
      <c r="E533" s="32" t="n">
        <v>0</v>
      </c>
      <c r="F533" s="32" t="n">
        <v>0</v>
      </c>
      <c r="G533" s="32" t="n">
        <v>0</v>
      </c>
      <c r="H533" s="32" t="n">
        <v>0</v>
      </c>
      <c r="I533" s="32" t="n">
        <v>1</v>
      </c>
      <c r="J533" s="32" t="n">
        <v>0</v>
      </c>
      <c r="K533" s="32" t="n">
        <v>0</v>
      </c>
      <c r="L533" s="32" t="n">
        <v>0</v>
      </c>
      <c r="M533" s="32" t="n">
        <v>0</v>
      </c>
      <c r="N533" s="32" t="n">
        <v>0</v>
      </c>
      <c r="O533" s="32" t="n">
        <v>1</v>
      </c>
      <c r="P533" s="32" t="n">
        <v>0</v>
      </c>
      <c r="Q533" s="32" t="n">
        <v>0</v>
      </c>
      <c r="R533" s="32" t="n">
        <v>0</v>
      </c>
      <c r="S533" s="32" t="n">
        <v>0</v>
      </c>
      <c r="T533" s="32" t="n">
        <v>0</v>
      </c>
      <c r="U533" s="32" t="n">
        <v>0</v>
      </c>
      <c r="V533" s="32" t="n">
        <v>0</v>
      </c>
      <c r="W533" s="32" t="n">
        <v>1</v>
      </c>
      <c r="X533" s="32" t="n">
        <v>0</v>
      </c>
      <c r="Y533" s="32" t="n">
        <v>0</v>
      </c>
      <c r="Z533" s="32" t="n">
        <v>0</v>
      </c>
      <c r="AA533" s="32" t="n">
        <v>0</v>
      </c>
      <c r="AB533" s="32" t="n">
        <v>0</v>
      </c>
      <c r="AC533" s="30" t="s">
        <v>634</v>
      </c>
      <c r="AD533" s="37" t="n">
        <f aca="false">B533-B532</f>
        <v>0.125</v>
      </c>
    </row>
    <row r="534" customFormat="false" ht="15" hidden="false" customHeight="false" outlineLevel="0" collapsed="false">
      <c r="A534" s="33" t="n">
        <v>531</v>
      </c>
      <c r="B534" s="34" t="n">
        <f aca="false">Summary!$B$5+IF(D534=1,0,IF(C534=1,Summary!$B$6,NA()))+(MATCH(1,E534:L534,0)-1)*Summary!$B$7+(MATCH(1,M534:T534,0)-1)*Summary!$B$8+(MATCH(1,U534:AB534,0)-1)*Summary!$B$9</f>
        <v>96.375</v>
      </c>
      <c r="C534" s="35" t="n">
        <v>1</v>
      </c>
      <c r="D534" s="35" t="n">
        <v>0</v>
      </c>
      <c r="E534" s="35" t="n">
        <v>0</v>
      </c>
      <c r="F534" s="35" t="n">
        <v>0</v>
      </c>
      <c r="G534" s="35" t="n">
        <v>0</v>
      </c>
      <c r="H534" s="35" t="n">
        <v>0</v>
      </c>
      <c r="I534" s="35" t="n">
        <v>1</v>
      </c>
      <c r="J534" s="35" t="n">
        <v>0</v>
      </c>
      <c r="K534" s="35" t="n">
        <v>0</v>
      </c>
      <c r="L534" s="35" t="n">
        <v>0</v>
      </c>
      <c r="M534" s="35" t="n">
        <v>0</v>
      </c>
      <c r="N534" s="35" t="n">
        <v>0</v>
      </c>
      <c r="O534" s="35" t="n">
        <v>1</v>
      </c>
      <c r="P534" s="35" t="n">
        <v>0</v>
      </c>
      <c r="Q534" s="35" t="n">
        <v>0</v>
      </c>
      <c r="R534" s="35" t="n">
        <v>0</v>
      </c>
      <c r="S534" s="35" t="n">
        <v>0</v>
      </c>
      <c r="T534" s="35" t="n">
        <v>0</v>
      </c>
      <c r="U534" s="35" t="n">
        <v>0</v>
      </c>
      <c r="V534" s="35" t="n">
        <v>0</v>
      </c>
      <c r="W534" s="35" t="n">
        <v>0</v>
      </c>
      <c r="X534" s="35" t="n">
        <v>1</v>
      </c>
      <c r="Y534" s="35" t="n">
        <v>0</v>
      </c>
      <c r="Z534" s="35" t="n">
        <v>0</v>
      </c>
      <c r="AA534" s="35" t="n">
        <v>0</v>
      </c>
      <c r="AB534" s="35" t="n">
        <v>0</v>
      </c>
      <c r="AC534" s="33" t="s">
        <v>635</v>
      </c>
      <c r="AD534" s="36" t="n">
        <f aca="false">B534-B533</f>
        <v>0.125</v>
      </c>
    </row>
    <row r="535" customFormat="false" ht="15" hidden="false" customHeight="false" outlineLevel="0" collapsed="false">
      <c r="A535" s="30" t="n">
        <v>532</v>
      </c>
      <c r="B535" s="31" t="n">
        <f aca="false">Summary!$B$5+IF(D535=1,0,IF(C535=1,Summary!$B$6,NA()))+(MATCH(1,E535:L535,0)-1)*Summary!$B$7+(MATCH(1,M535:T535,0)-1)*Summary!$B$8+(MATCH(1,U535:AB535,0)-1)*Summary!$B$9</f>
        <v>96.5</v>
      </c>
      <c r="C535" s="32" t="n">
        <v>1</v>
      </c>
      <c r="D535" s="32" t="n">
        <v>0</v>
      </c>
      <c r="E535" s="32" t="n">
        <v>0</v>
      </c>
      <c r="F535" s="32" t="n">
        <v>0</v>
      </c>
      <c r="G535" s="32" t="n">
        <v>0</v>
      </c>
      <c r="H535" s="32" t="n">
        <v>0</v>
      </c>
      <c r="I535" s="32" t="n">
        <v>1</v>
      </c>
      <c r="J535" s="32" t="n">
        <v>0</v>
      </c>
      <c r="K535" s="32" t="n">
        <v>0</v>
      </c>
      <c r="L535" s="32" t="n">
        <v>0</v>
      </c>
      <c r="M535" s="32" t="n">
        <v>0</v>
      </c>
      <c r="N535" s="32" t="n">
        <v>0</v>
      </c>
      <c r="O535" s="32" t="n">
        <v>1</v>
      </c>
      <c r="P535" s="32" t="n">
        <v>0</v>
      </c>
      <c r="Q535" s="32" t="n">
        <v>0</v>
      </c>
      <c r="R535" s="32" t="n">
        <v>0</v>
      </c>
      <c r="S535" s="32" t="n">
        <v>0</v>
      </c>
      <c r="T535" s="32" t="n">
        <v>0</v>
      </c>
      <c r="U535" s="32" t="n">
        <v>0</v>
      </c>
      <c r="V535" s="32" t="n">
        <v>0</v>
      </c>
      <c r="W535" s="32" t="n">
        <v>0</v>
      </c>
      <c r="X535" s="32" t="n">
        <v>0</v>
      </c>
      <c r="Y535" s="32" t="n">
        <v>1</v>
      </c>
      <c r="Z535" s="32" t="n">
        <v>0</v>
      </c>
      <c r="AA535" s="32" t="n">
        <v>0</v>
      </c>
      <c r="AB535" s="32" t="n">
        <v>0</v>
      </c>
      <c r="AC535" s="30" t="s">
        <v>636</v>
      </c>
      <c r="AD535" s="37" t="n">
        <f aca="false">B535-B534</f>
        <v>0.125</v>
      </c>
    </row>
    <row r="536" customFormat="false" ht="15" hidden="false" customHeight="false" outlineLevel="0" collapsed="false">
      <c r="A536" s="33" t="n">
        <v>533</v>
      </c>
      <c r="B536" s="34" t="n">
        <f aca="false">Summary!$B$5+IF(D536=1,0,IF(C536=1,Summary!$B$6,NA()))+(MATCH(1,E536:L536,0)-1)*Summary!$B$7+(MATCH(1,M536:T536,0)-1)*Summary!$B$8+(MATCH(1,U536:AB536,0)-1)*Summary!$B$9</f>
        <v>96.625</v>
      </c>
      <c r="C536" s="35" t="n">
        <v>1</v>
      </c>
      <c r="D536" s="35" t="n">
        <v>0</v>
      </c>
      <c r="E536" s="35" t="n">
        <v>0</v>
      </c>
      <c r="F536" s="35" t="n">
        <v>0</v>
      </c>
      <c r="G536" s="35" t="n">
        <v>0</v>
      </c>
      <c r="H536" s="35" t="n">
        <v>0</v>
      </c>
      <c r="I536" s="35" t="n">
        <v>1</v>
      </c>
      <c r="J536" s="35" t="n">
        <v>0</v>
      </c>
      <c r="K536" s="35" t="n">
        <v>0</v>
      </c>
      <c r="L536" s="35" t="n">
        <v>0</v>
      </c>
      <c r="M536" s="35" t="n">
        <v>0</v>
      </c>
      <c r="N536" s="35" t="n">
        <v>0</v>
      </c>
      <c r="O536" s="35" t="n">
        <v>1</v>
      </c>
      <c r="P536" s="35" t="n">
        <v>0</v>
      </c>
      <c r="Q536" s="35" t="n">
        <v>0</v>
      </c>
      <c r="R536" s="35" t="n">
        <v>0</v>
      </c>
      <c r="S536" s="35" t="n">
        <v>0</v>
      </c>
      <c r="T536" s="35" t="n">
        <v>0</v>
      </c>
      <c r="U536" s="35" t="n">
        <v>0</v>
      </c>
      <c r="V536" s="35" t="n">
        <v>0</v>
      </c>
      <c r="W536" s="35" t="n">
        <v>0</v>
      </c>
      <c r="X536" s="35" t="n">
        <v>0</v>
      </c>
      <c r="Y536" s="35" t="n">
        <v>0</v>
      </c>
      <c r="Z536" s="35" t="n">
        <v>1</v>
      </c>
      <c r="AA536" s="35" t="n">
        <v>0</v>
      </c>
      <c r="AB536" s="35" t="n">
        <v>0</v>
      </c>
      <c r="AC536" s="33" t="s">
        <v>637</v>
      </c>
      <c r="AD536" s="36" t="n">
        <f aca="false">B536-B535</f>
        <v>0.125</v>
      </c>
    </row>
    <row r="537" customFormat="false" ht="15" hidden="false" customHeight="false" outlineLevel="0" collapsed="false">
      <c r="A537" s="30" t="n">
        <v>534</v>
      </c>
      <c r="B537" s="31" t="n">
        <f aca="false">Summary!$B$5+IF(D537=1,0,IF(C537=1,Summary!$B$6,NA()))+(MATCH(1,E537:L537,0)-1)*Summary!$B$7+(MATCH(1,M537:T537,0)-1)*Summary!$B$8+(MATCH(1,U537:AB537,0)-1)*Summary!$B$9</f>
        <v>96.75</v>
      </c>
      <c r="C537" s="32" t="n">
        <v>1</v>
      </c>
      <c r="D537" s="32" t="n">
        <v>0</v>
      </c>
      <c r="E537" s="32" t="n">
        <v>0</v>
      </c>
      <c r="F537" s="32" t="n">
        <v>0</v>
      </c>
      <c r="G537" s="32" t="n">
        <v>0</v>
      </c>
      <c r="H537" s="32" t="n">
        <v>0</v>
      </c>
      <c r="I537" s="32" t="n">
        <v>1</v>
      </c>
      <c r="J537" s="32" t="n">
        <v>0</v>
      </c>
      <c r="K537" s="32" t="n">
        <v>0</v>
      </c>
      <c r="L537" s="32" t="n">
        <v>0</v>
      </c>
      <c r="M537" s="32" t="n">
        <v>0</v>
      </c>
      <c r="N537" s="32" t="n">
        <v>0</v>
      </c>
      <c r="O537" s="32" t="n">
        <v>1</v>
      </c>
      <c r="P537" s="32" t="n">
        <v>0</v>
      </c>
      <c r="Q537" s="32" t="n">
        <v>0</v>
      </c>
      <c r="R537" s="32" t="n">
        <v>0</v>
      </c>
      <c r="S537" s="32" t="n">
        <v>0</v>
      </c>
      <c r="T537" s="32" t="n">
        <v>0</v>
      </c>
      <c r="U537" s="32" t="n">
        <v>0</v>
      </c>
      <c r="V537" s="32" t="n">
        <v>0</v>
      </c>
      <c r="W537" s="32" t="n">
        <v>0</v>
      </c>
      <c r="X537" s="32" t="n">
        <v>0</v>
      </c>
      <c r="Y537" s="32" t="n">
        <v>0</v>
      </c>
      <c r="Z537" s="32" t="n">
        <v>0</v>
      </c>
      <c r="AA537" s="32" t="n">
        <v>1</v>
      </c>
      <c r="AB537" s="32" t="n">
        <v>0</v>
      </c>
      <c r="AC537" s="30" t="s">
        <v>638</v>
      </c>
      <c r="AD537" s="37" t="n">
        <f aca="false">B537-B536</f>
        <v>0.125</v>
      </c>
    </row>
    <row r="538" customFormat="false" ht="15" hidden="false" customHeight="false" outlineLevel="0" collapsed="false">
      <c r="A538" s="33" t="n">
        <v>535</v>
      </c>
      <c r="B538" s="34" t="n">
        <f aca="false">Summary!$B$5+IF(D538=1,0,IF(C538=1,Summary!$B$6,NA()))+(MATCH(1,E538:L538,0)-1)*Summary!$B$7+(MATCH(1,M538:T538,0)-1)*Summary!$B$8+(MATCH(1,U538:AB538,0)-1)*Summary!$B$9</f>
        <v>96.875</v>
      </c>
      <c r="C538" s="35" t="n">
        <v>1</v>
      </c>
      <c r="D538" s="35" t="n">
        <v>0</v>
      </c>
      <c r="E538" s="35" t="n">
        <v>0</v>
      </c>
      <c r="F538" s="35" t="n">
        <v>0</v>
      </c>
      <c r="G538" s="35" t="n">
        <v>0</v>
      </c>
      <c r="H538" s="35" t="n">
        <v>0</v>
      </c>
      <c r="I538" s="35" t="n">
        <v>1</v>
      </c>
      <c r="J538" s="35" t="n">
        <v>0</v>
      </c>
      <c r="K538" s="35" t="n">
        <v>0</v>
      </c>
      <c r="L538" s="35" t="n">
        <v>0</v>
      </c>
      <c r="M538" s="35" t="n">
        <v>0</v>
      </c>
      <c r="N538" s="35" t="n">
        <v>0</v>
      </c>
      <c r="O538" s="35" t="n">
        <v>1</v>
      </c>
      <c r="P538" s="35" t="n">
        <v>0</v>
      </c>
      <c r="Q538" s="35" t="n">
        <v>0</v>
      </c>
      <c r="R538" s="35" t="n">
        <v>0</v>
      </c>
      <c r="S538" s="35" t="n">
        <v>0</v>
      </c>
      <c r="T538" s="35" t="n">
        <v>0</v>
      </c>
      <c r="U538" s="35" t="n">
        <v>0</v>
      </c>
      <c r="V538" s="35" t="n">
        <v>0</v>
      </c>
      <c r="W538" s="35" t="n">
        <v>0</v>
      </c>
      <c r="X538" s="35" t="n">
        <v>0</v>
      </c>
      <c r="Y538" s="35" t="n">
        <v>0</v>
      </c>
      <c r="Z538" s="35" t="n">
        <v>0</v>
      </c>
      <c r="AA538" s="35" t="n">
        <v>0</v>
      </c>
      <c r="AB538" s="35" t="n">
        <v>1</v>
      </c>
      <c r="AC538" s="33" t="s">
        <v>639</v>
      </c>
      <c r="AD538" s="36" t="n">
        <f aca="false">B538-B537</f>
        <v>0.125</v>
      </c>
    </row>
    <row r="539" customFormat="false" ht="15" hidden="false" customHeight="false" outlineLevel="0" collapsed="false">
      <c r="A539" s="30" t="n">
        <v>536</v>
      </c>
      <c r="B539" s="31" t="n">
        <f aca="false">Summary!$B$5+IF(D539=1,0,IF(C539=1,Summary!$B$6,NA()))+(MATCH(1,E539:L539,0)-1)*Summary!$B$7+(MATCH(1,M539:T539,0)-1)*Summary!$B$8+(MATCH(1,U539:AB539,0)-1)*Summary!$B$9</f>
        <v>97</v>
      </c>
      <c r="C539" s="32" t="n">
        <v>1</v>
      </c>
      <c r="D539" s="32" t="n">
        <v>0</v>
      </c>
      <c r="E539" s="32" t="n">
        <v>0</v>
      </c>
      <c r="F539" s="32" t="n">
        <v>0</v>
      </c>
      <c r="G539" s="32" t="n">
        <v>0</v>
      </c>
      <c r="H539" s="32" t="n">
        <v>0</v>
      </c>
      <c r="I539" s="32" t="n">
        <v>1</v>
      </c>
      <c r="J539" s="32" t="n">
        <v>0</v>
      </c>
      <c r="K539" s="32" t="n">
        <v>0</v>
      </c>
      <c r="L539" s="32" t="n">
        <v>0</v>
      </c>
      <c r="M539" s="32" t="n">
        <v>0</v>
      </c>
      <c r="N539" s="32" t="n">
        <v>0</v>
      </c>
      <c r="O539" s="32" t="n">
        <v>0</v>
      </c>
      <c r="P539" s="32" t="n">
        <v>1</v>
      </c>
      <c r="Q539" s="32" t="n">
        <v>0</v>
      </c>
      <c r="R539" s="32" t="n">
        <v>0</v>
      </c>
      <c r="S539" s="32" t="n">
        <v>0</v>
      </c>
      <c r="T539" s="32" t="n">
        <v>0</v>
      </c>
      <c r="U539" s="32" t="n">
        <v>1</v>
      </c>
      <c r="V539" s="32" t="n">
        <v>0</v>
      </c>
      <c r="W539" s="32" t="n">
        <v>0</v>
      </c>
      <c r="X539" s="32" t="n">
        <v>0</v>
      </c>
      <c r="Y539" s="32" t="n">
        <v>0</v>
      </c>
      <c r="Z539" s="32" t="n">
        <v>0</v>
      </c>
      <c r="AA539" s="32" t="n">
        <v>0</v>
      </c>
      <c r="AB539" s="32" t="n">
        <v>0</v>
      </c>
      <c r="AC539" s="30" t="s">
        <v>640</v>
      </c>
      <c r="AD539" s="37" t="n">
        <f aca="false">B539-B538</f>
        <v>0.125</v>
      </c>
    </row>
    <row r="540" customFormat="false" ht="15" hidden="false" customHeight="false" outlineLevel="0" collapsed="false">
      <c r="A540" s="33" t="n">
        <v>537</v>
      </c>
      <c r="B540" s="34" t="n">
        <f aca="false">Summary!$B$5+IF(D540=1,0,IF(C540=1,Summary!$B$6,NA()))+(MATCH(1,E540:L540,0)-1)*Summary!$B$7+(MATCH(1,M540:T540,0)-1)*Summary!$B$8+(MATCH(1,U540:AB540,0)-1)*Summary!$B$9</f>
        <v>97.125</v>
      </c>
      <c r="C540" s="35" t="n">
        <v>1</v>
      </c>
      <c r="D540" s="35" t="n">
        <v>0</v>
      </c>
      <c r="E540" s="35" t="n">
        <v>0</v>
      </c>
      <c r="F540" s="35" t="n">
        <v>0</v>
      </c>
      <c r="G540" s="35" t="n">
        <v>0</v>
      </c>
      <c r="H540" s="35" t="n">
        <v>0</v>
      </c>
      <c r="I540" s="35" t="n">
        <v>1</v>
      </c>
      <c r="J540" s="35" t="n">
        <v>0</v>
      </c>
      <c r="K540" s="35" t="n">
        <v>0</v>
      </c>
      <c r="L540" s="35" t="n">
        <v>0</v>
      </c>
      <c r="M540" s="35" t="n">
        <v>0</v>
      </c>
      <c r="N540" s="35" t="n">
        <v>0</v>
      </c>
      <c r="O540" s="35" t="n">
        <v>0</v>
      </c>
      <c r="P540" s="35" t="n">
        <v>1</v>
      </c>
      <c r="Q540" s="35" t="n">
        <v>0</v>
      </c>
      <c r="R540" s="35" t="n">
        <v>0</v>
      </c>
      <c r="S540" s="35" t="n">
        <v>0</v>
      </c>
      <c r="T540" s="35" t="n">
        <v>0</v>
      </c>
      <c r="U540" s="35" t="n">
        <v>0</v>
      </c>
      <c r="V540" s="35" t="n">
        <v>1</v>
      </c>
      <c r="W540" s="35" t="n">
        <v>0</v>
      </c>
      <c r="X540" s="35" t="n">
        <v>0</v>
      </c>
      <c r="Y540" s="35" t="n">
        <v>0</v>
      </c>
      <c r="Z540" s="35" t="n">
        <v>0</v>
      </c>
      <c r="AA540" s="35" t="n">
        <v>0</v>
      </c>
      <c r="AB540" s="35" t="n">
        <v>0</v>
      </c>
      <c r="AC540" s="33" t="s">
        <v>641</v>
      </c>
      <c r="AD540" s="36" t="n">
        <f aca="false">B540-B539</f>
        <v>0.125</v>
      </c>
    </row>
    <row r="541" customFormat="false" ht="15" hidden="false" customHeight="false" outlineLevel="0" collapsed="false">
      <c r="A541" s="30" t="n">
        <v>538</v>
      </c>
      <c r="B541" s="31" t="n">
        <f aca="false">Summary!$B$5+IF(D541=1,0,IF(C541=1,Summary!$B$6,NA()))+(MATCH(1,E541:L541,0)-1)*Summary!$B$7+(MATCH(1,M541:T541,0)-1)*Summary!$B$8+(MATCH(1,U541:AB541,0)-1)*Summary!$B$9</f>
        <v>97.25</v>
      </c>
      <c r="C541" s="32" t="n">
        <v>1</v>
      </c>
      <c r="D541" s="32" t="n">
        <v>0</v>
      </c>
      <c r="E541" s="32" t="n">
        <v>0</v>
      </c>
      <c r="F541" s="32" t="n">
        <v>0</v>
      </c>
      <c r="G541" s="32" t="n">
        <v>0</v>
      </c>
      <c r="H541" s="32" t="n">
        <v>0</v>
      </c>
      <c r="I541" s="32" t="n">
        <v>1</v>
      </c>
      <c r="J541" s="32" t="n">
        <v>0</v>
      </c>
      <c r="K541" s="32" t="n">
        <v>0</v>
      </c>
      <c r="L541" s="32" t="n">
        <v>0</v>
      </c>
      <c r="M541" s="32" t="n">
        <v>0</v>
      </c>
      <c r="N541" s="32" t="n">
        <v>0</v>
      </c>
      <c r="O541" s="32" t="n">
        <v>0</v>
      </c>
      <c r="P541" s="32" t="n">
        <v>1</v>
      </c>
      <c r="Q541" s="32" t="n">
        <v>0</v>
      </c>
      <c r="R541" s="32" t="n">
        <v>0</v>
      </c>
      <c r="S541" s="32" t="n">
        <v>0</v>
      </c>
      <c r="T541" s="32" t="n">
        <v>0</v>
      </c>
      <c r="U541" s="32" t="n">
        <v>0</v>
      </c>
      <c r="V541" s="32" t="n">
        <v>0</v>
      </c>
      <c r="W541" s="32" t="n">
        <v>1</v>
      </c>
      <c r="X541" s="32" t="n">
        <v>0</v>
      </c>
      <c r="Y541" s="32" t="n">
        <v>0</v>
      </c>
      <c r="Z541" s="32" t="n">
        <v>0</v>
      </c>
      <c r="AA541" s="32" t="n">
        <v>0</v>
      </c>
      <c r="AB541" s="32" t="n">
        <v>0</v>
      </c>
      <c r="AC541" s="30" t="s">
        <v>642</v>
      </c>
      <c r="AD541" s="37" t="n">
        <f aca="false">B541-B540</f>
        <v>0.125</v>
      </c>
    </row>
    <row r="542" customFormat="false" ht="15" hidden="false" customHeight="false" outlineLevel="0" collapsed="false">
      <c r="A542" s="33" t="n">
        <v>539</v>
      </c>
      <c r="B542" s="34" t="n">
        <f aca="false">Summary!$B$5+IF(D542=1,0,IF(C542=1,Summary!$B$6,NA()))+(MATCH(1,E542:L542,0)-1)*Summary!$B$7+(MATCH(1,M542:T542,0)-1)*Summary!$B$8+(MATCH(1,U542:AB542,0)-1)*Summary!$B$9</f>
        <v>97.375</v>
      </c>
      <c r="C542" s="35" t="n">
        <v>1</v>
      </c>
      <c r="D542" s="35" t="n">
        <v>0</v>
      </c>
      <c r="E542" s="35" t="n">
        <v>0</v>
      </c>
      <c r="F542" s="35" t="n">
        <v>0</v>
      </c>
      <c r="G542" s="35" t="n">
        <v>0</v>
      </c>
      <c r="H542" s="35" t="n">
        <v>0</v>
      </c>
      <c r="I542" s="35" t="n">
        <v>1</v>
      </c>
      <c r="J542" s="35" t="n">
        <v>0</v>
      </c>
      <c r="K542" s="35" t="n">
        <v>0</v>
      </c>
      <c r="L542" s="35" t="n">
        <v>0</v>
      </c>
      <c r="M542" s="35" t="n">
        <v>0</v>
      </c>
      <c r="N542" s="35" t="n">
        <v>0</v>
      </c>
      <c r="O542" s="35" t="n">
        <v>0</v>
      </c>
      <c r="P542" s="35" t="n">
        <v>1</v>
      </c>
      <c r="Q542" s="35" t="n">
        <v>0</v>
      </c>
      <c r="R542" s="35" t="n">
        <v>0</v>
      </c>
      <c r="S542" s="35" t="n">
        <v>0</v>
      </c>
      <c r="T542" s="35" t="n">
        <v>0</v>
      </c>
      <c r="U542" s="35" t="n">
        <v>0</v>
      </c>
      <c r="V542" s="35" t="n">
        <v>0</v>
      </c>
      <c r="W542" s="35" t="n">
        <v>0</v>
      </c>
      <c r="X542" s="35" t="n">
        <v>1</v>
      </c>
      <c r="Y542" s="35" t="n">
        <v>0</v>
      </c>
      <c r="Z542" s="35" t="n">
        <v>0</v>
      </c>
      <c r="AA542" s="35" t="n">
        <v>0</v>
      </c>
      <c r="AB542" s="35" t="n">
        <v>0</v>
      </c>
      <c r="AC542" s="33" t="s">
        <v>643</v>
      </c>
      <c r="AD542" s="36" t="n">
        <f aca="false">B542-B541</f>
        <v>0.125</v>
      </c>
    </row>
    <row r="543" customFormat="false" ht="15" hidden="false" customHeight="false" outlineLevel="0" collapsed="false">
      <c r="A543" s="30" t="n">
        <v>540</v>
      </c>
      <c r="B543" s="31" t="n">
        <f aca="false">Summary!$B$5+IF(D543=1,0,IF(C543=1,Summary!$B$6,NA()))+(MATCH(1,E543:L543,0)-1)*Summary!$B$7+(MATCH(1,M543:T543,0)-1)*Summary!$B$8+(MATCH(1,U543:AB543,0)-1)*Summary!$B$9</f>
        <v>97.5</v>
      </c>
      <c r="C543" s="32" t="n">
        <v>1</v>
      </c>
      <c r="D543" s="32" t="n">
        <v>0</v>
      </c>
      <c r="E543" s="32" t="n">
        <v>0</v>
      </c>
      <c r="F543" s="32" t="n">
        <v>0</v>
      </c>
      <c r="G543" s="32" t="n">
        <v>0</v>
      </c>
      <c r="H543" s="32" t="n">
        <v>0</v>
      </c>
      <c r="I543" s="32" t="n">
        <v>1</v>
      </c>
      <c r="J543" s="32" t="n">
        <v>0</v>
      </c>
      <c r="K543" s="32" t="n">
        <v>0</v>
      </c>
      <c r="L543" s="32" t="n">
        <v>0</v>
      </c>
      <c r="M543" s="32" t="n">
        <v>0</v>
      </c>
      <c r="N543" s="32" t="n">
        <v>0</v>
      </c>
      <c r="O543" s="32" t="n">
        <v>0</v>
      </c>
      <c r="P543" s="32" t="n">
        <v>1</v>
      </c>
      <c r="Q543" s="32" t="n">
        <v>0</v>
      </c>
      <c r="R543" s="32" t="n">
        <v>0</v>
      </c>
      <c r="S543" s="32" t="n">
        <v>0</v>
      </c>
      <c r="T543" s="32" t="n">
        <v>0</v>
      </c>
      <c r="U543" s="32" t="n">
        <v>0</v>
      </c>
      <c r="V543" s="32" t="n">
        <v>0</v>
      </c>
      <c r="W543" s="32" t="n">
        <v>0</v>
      </c>
      <c r="X543" s="32" t="n">
        <v>0</v>
      </c>
      <c r="Y543" s="32" t="n">
        <v>1</v>
      </c>
      <c r="Z543" s="32" t="n">
        <v>0</v>
      </c>
      <c r="AA543" s="32" t="n">
        <v>0</v>
      </c>
      <c r="AB543" s="32" t="n">
        <v>0</v>
      </c>
      <c r="AC543" s="30" t="s">
        <v>644</v>
      </c>
      <c r="AD543" s="37" t="n">
        <f aca="false">B543-B542</f>
        <v>0.125</v>
      </c>
    </row>
    <row r="544" customFormat="false" ht="15" hidden="false" customHeight="false" outlineLevel="0" collapsed="false">
      <c r="A544" s="33" t="n">
        <v>541</v>
      </c>
      <c r="B544" s="34" t="n">
        <f aca="false">Summary!$B$5+IF(D544=1,0,IF(C544=1,Summary!$B$6,NA()))+(MATCH(1,E544:L544,0)-1)*Summary!$B$7+(MATCH(1,M544:T544,0)-1)*Summary!$B$8+(MATCH(1,U544:AB544,0)-1)*Summary!$B$9</f>
        <v>97.625</v>
      </c>
      <c r="C544" s="35" t="n">
        <v>1</v>
      </c>
      <c r="D544" s="35" t="n">
        <v>0</v>
      </c>
      <c r="E544" s="35" t="n">
        <v>0</v>
      </c>
      <c r="F544" s="35" t="n">
        <v>0</v>
      </c>
      <c r="G544" s="35" t="n">
        <v>0</v>
      </c>
      <c r="H544" s="35" t="n">
        <v>0</v>
      </c>
      <c r="I544" s="35" t="n">
        <v>1</v>
      </c>
      <c r="J544" s="35" t="n">
        <v>0</v>
      </c>
      <c r="K544" s="35" t="n">
        <v>0</v>
      </c>
      <c r="L544" s="35" t="n">
        <v>0</v>
      </c>
      <c r="M544" s="35" t="n">
        <v>0</v>
      </c>
      <c r="N544" s="35" t="n">
        <v>0</v>
      </c>
      <c r="O544" s="35" t="n">
        <v>0</v>
      </c>
      <c r="P544" s="35" t="n">
        <v>1</v>
      </c>
      <c r="Q544" s="35" t="n">
        <v>0</v>
      </c>
      <c r="R544" s="35" t="n">
        <v>0</v>
      </c>
      <c r="S544" s="35" t="n">
        <v>0</v>
      </c>
      <c r="T544" s="35" t="n">
        <v>0</v>
      </c>
      <c r="U544" s="35" t="n">
        <v>0</v>
      </c>
      <c r="V544" s="35" t="n">
        <v>0</v>
      </c>
      <c r="W544" s="35" t="n">
        <v>0</v>
      </c>
      <c r="X544" s="35" t="n">
        <v>0</v>
      </c>
      <c r="Y544" s="35" t="n">
        <v>0</v>
      </c>
      <c r="Z544" s="35" t="n">
        <v>1</v>
      </c>
      <c r="AA544" s="35" t="n">
        <v>0</v>
      </c>
      <c r="AB544" s="35" t="n">
        <v>0</v>
      </c>
      <c r="AC544" s="33" t="s">
        <v>645</v>
      </c>
      <c r="AD544" s="36" t="n">
        <f aca="false">B544-B543</f>
        <v>0.125</v>
      </c>
    </row>
    <row r="545" customFormat="false" ht="15" hidden="false" customHeight="false" outlineLevel="0" collapsed="false">
      <c r="A545" s="30" t="n">
        <v>542</v>
      </c>
      <c r="B545" s="31" t="n">
        <f aca="false">Summary!$B$5+IF(D545=1,0,IF(C545=1,Summary!$B$6,NA()))+(MATCH(1,E545:L545,0)-1)*Summary!$B$7+(MATCH(1,M545:T545,0)-1)*Summary!$B$8+(MATCH(1,U545:AB545,0)-1)*Summary!$B$9</f>
        <v>97.75</v>
      </c>
      <c r="C545" s="32" t="n">
        <v>1</v>
      </c>
      <c r="D545" s="32" t="n">
        <v>0</v>
      </c>
      <c r="E545" s="32" t="n">
        <v>0</v>
      </c>
      <c r="F545" s="32" t="n">
        <v>0</v>
      </c>
      <c r="G545" s="32" t="n">
        <v>0</v>
      </c>
      <c r="H545" s="32" t="n">
        <v>0</v>
      </c>
      <c r="I545" s="32" t="n">
        <v>1</v>
      </c>
      <c r="J545" s="32" t="n">
        <v>0</v>
      </c>
      <c r="K545" s="32" t="n">
        <v>0</v>
      </c>
      <c r="L545" s="32" t="n">
        <v>0</v>
      </c>
      <c r="M545" s="32" t="n">
        <v>0</v>
      </c>
      <c r="N545" s="32" t="n">
        <v>0</v>
      </c>
      <c r="O545" s="32" t="n">
        <v>0</v>
      </c>
      <c r="P545" s="32" t="n">
        <v>1</v>
      </c>
      <c r="Q545" s="32" t="n">
        <v>0</v>
      </c>
      <c r="R545" s="32" t="n">
        <v>0</v>
      </c>
      <c r="S545" s="32" t="n">
        <v>0</v>
      </c>
      <c r="T545" s="32" t="n">
        <v>0</v>
      </c>
      <c r="U545" s="32" t="n">
        <v>0</v>
      </c>
      <c r="V545" s="32" t="n">
        <v>0</v>
      </c>
      <c r="W545" s="32" t="n">
        <v>0</v>
      </c>
      <c r="X545" s="32" t="n">
        <v>0</v>
      </c>
      <c r="Y545" s="32" t="n">
        <v>0</v>
      </c>
      <c r="Z545" s="32" t="n">
        <v>0</v>
      </c>
      <c r="AA545" s="32" t="n">
        <v>1</v>
      </c>
      <c r="AB545" s="32" t="n">
        <v>0</v>
      </c>
      <c r="AC545" s="30" t="s">
        <v>646</v>
      </c>
      <c r="AD545" s="37" t="n">
        <f aca="false">B545-B544</f>
        <v>0.125</v>
      </c>
    </row>
    <row r="546" customFormat="false" ht="15" hidden="false" customHeight="false" outlineLevel="0" collapsed="false">
      <c r="A546" s="33" t="n">
        <v>543</v>
      </c>
      <c r="B546" s="34" t="n">
        <f aca="false">Summary!$B$5+IF(D546=1,0,IF(C546=1,Summary!$B$6,NA()))+(MATCH(1,E546:L546,0)-1)*Summary!$B$7+(MATCH(1,M546:T546,0)-1)*Summary!$B$8+(MATCH(1,U546:AB546,0)-1)*Summary!$B$9</f>
        <v>97.875</v>
      </c>
      <c r="C546" s="35" t="n">
        <v>1</v>
      </c>
      <c r="D546" s="35" t="n">
        <v>0</v>
      </c>
      <c r="E546" s="35" t="n">
        <v>0</v>
      </c>
      <c r="F546" s="35" t="n">
        <v>0</v>
      </c>
      <c r="G546" s="35" t="n">
        <v>0</v>
      </c>
      <c r="H546" s="35" t="n">
        <v>0</v>
      </c>
      <c r="I546" s="35" t="n">
        <v>1</v>
      </c>
      <c r="J546" s="35" t="n">
        <v>0</v>
      </c>
      <c r="K546" s="35" t="n">
        <v>0</v>
      </c>
      <c r="L546" s="35" t="n">
        <v>0</v>
      </c>
      <c r="M546" s="35" t="n">
        <v>0</v>
      </c>
      <c r="N546" s="35" t="n">
        <v>0</v>
      </c>
      <c r="O546" s="35" t="n">
        <v>0</v>
      </c>
      <c r="P546" s="35" t="n">
        <v>1</v>
      </c>
      <c r="Q546" s="35" t="n">
        <v>0</v>
      </c>
      <c r="R546" s="35" t="n">
        <v>0</v>
      </c>
      <c r="S546" s="35" t="n">
        <v>0</v>
      </c>
      <c r="T546" s="35" t="n">
        <v>0</v>
      </c>
      <c r="U546" s="35" t="n">
        <v>0</v>
      </c>
      <c r="V546" s="35" t="n">
        <v>0</v>
      </c>
      <c r="W546" s="35" t="n">
        <v>0</v>
      </c>
      <c r="X546" s="35" t="n">
        <v>0</v>
      </c>
      <c r="Y546" s="35" t="n">
        <v>0</v>
      </c>
      <c r="Z546" s="35" t="n">
        <v>0</v>
      </c>
      <c r="AA546" s="35" t="n">
        <v>0</v>
      </c>
      <c r="AB546" s="35" t="n">
        <v>1</v>
      </c>
      <c r="AC546" s="33" t="s">
        <v>647</v>
      </c>
      <c r="AD546" s="36" t="n">
        <f aca="false">B546-B545</f>
        <v>0.125</v>
      </c>
    </row>
    <row r="547" customFormat="false" ht="15" hidden="false" customHeight="false" outlineLevel="0" collapsed="false">
      <c r="A547" s="30" t="n">
        <v>544</v>
      </c>
      <c r="B547" s="31" t="n">
        <f aca="false">Summary!$B$5+IF(D547=1,0,IF(C547=1,Summary!$B$6,NA()))+(MATCH(1,E547:L547,0)-1)*Summary!$B$7+(MATCH(1,M547:T547,0)-1)*Summary!$B$8+(MATCH(1,U547:AB547,0)-1)*Summary!$B$9</f>
        <v>98</v>
      </c>
      <c r="C547" s="32" t="n">
        <v>1</v>
      </c>
      <c r="D547" s="32" t="n">
        <v>0</v>
      </c>
      <c r="E547" s="32" t="n">
        <v>0</v>
      </c>
      <c r="F547" s="32" t="n">
        <v>0</v>
      </c>
      <c r="G547" s="32" t="n">
        <v>0</v>
      </c>
      <c r="H547" s="32" t="n">
        <v>0</v>
      </c>
      <c r="I547" s="32" t="n">
        <v>1</v>
      </c>
      <c r="J547" s="32" t="n">
        <v>0</v>
      </c>
      <c r="K547" s="32" t="n">
        <v>0</v>
      </c>
      <c r="L547" s="32" t="n">
        <v>0</v>
      </c>
      <c r="M547" s="32" t="n">
        <v>0</v>
      </c>
      <c r="N547" s="32" t="n">
        <v>0</v>
      </c>
      <c r="O547" s="32" t="n">
        <v>0</v>
      </c>
      <c r="P547" s="32" t="n">
        <v>0</v>
      </c>
      <c r="Q547" s="32" t="n">
        <v>1</v>
      </c>
      <c r="R547" s="32" t="n">
        <v>0</v>
      </c>
      <c r="S547" s="32" t="n">
        <v>0</v>
      </c>
      <c r="T547" s="32" t="n">
        <v>0</v>
      </c>
      <c r="U547" s="32" t="n">
        <v>1</v>
      </c>
      <c r="V547" s="32" t="n">
        <v>0</v>
      </c>
      <c r="W547" s="32" t="n">
        <v>0</v>
      </c>
      <c r="X547" s="32" t="n">
        <v>0</v>
      </c>
      <c r="Y547" s="32" t="n">
        <v>0</v>
      </c>
      <c r="Z547" s="32" t="n">
        <v>0</v>
      </c>
      <c r="AA547" s="32" t="n">
        <v>0</v>
      </c>
      <c r="AB547" s="32" t="n">
        <v>0</v>
      </c>
      <c r="AC547" s="30" t="s">
        <v>648</v>
      </c>
      <c r="AD547" s="37" t="n">
        <f aca="false">B547-B546</f>
        <v>0.125</v>
      </c>
    </row>
    <row r="548" customFormat="false" ht="15" hidden="false" customHeight="false" outlineLevel="0" collapsed="false">
      <c r="A548" s="33" t="n">
        <v>545</v>
      </c>
      <c r="B548" s="34" t="n">
        <f aca="false">Summary!$B$5+IF(D548=1,0,IF(C548=1,Summary!$B$6,NA()))+(MATCH(1,E548:L548,0)-1)*Summary!$B$7+(MATCH(1,M548:T548,0)-1)*Summary!$B$8+(MATCH(1,U548:AB548,0)-1)*Summary!$B$9</f>
        <v>98.125</v>
      </c>
      <c r="C548" s="35" t="n">
        <v>1</v>
      </c>
      <c r="D548" s="35" t="n">
        <v>0</v>
      </c>
      <c r="E548" s="35" t="n">
        <v>0</v>
      </c>
      <c r="F548" s="35" t="n">
        <v>0</v>
      </c>
      <c r="G548" s="35" t="n">
        <v>0</v>
      </c>
      <c r="H548" s="35" t="n">
        <v>0</v>
      </c>
      <c r="I548" s="35" t="n">
        <v>1</v>
      </c>
      <c r="J548" s="35" t="n">
        <v>0</v>
      </c>
      <c r="K548" s="35" t="n">
        <v>0</v>
      </c>
      <c r="L548" s="35" t="n">
        <v>0</v>
      </c>
      <c r="M548" s="35" t="n">
        <v>0</v>
      </c>
      <c r="N548" s="35" t="n">
        <v>0</v>
      </c>
      <c r="O548" s="35" t="n">
        <v>0</v>
      </c>
      <c r="P548" s="35" t="n">
        <v>0</v>
      </c>
      <c r="Q548" s="35" t="n">
        <v>1</v>
      </c>
      <c r="R548" s="35" t="n">
        <v>0</v>
      </c>
      <c r="S548" s="35" t="n">
        <v>0</v>
      </c>
      <c r="T548" s="35" t="n">
        <v>0</v>
      </c>
      <c r="U548" s="35" t="n">
        <v>0</v>
      </c>
      <c r="V548" s="35" t="n">
        <v>1</v>
      </c>
      <c r="W548" s="35" t="n">
        <v>0</v>
      </c>
      <c r="X548" s="35" t="n">
        <v>0</v>
      </c>
      <c r="Y548" s="35" t="n">
        <v>0</v>
      </c>
      <c r="Z548" s="35" t="n">
        <v>0</v>
      </c>
      <c r="AA548" s="35" t="n">
        <v>0</v>
      </c>
      <c r="AB548" s="35" t="n">
        <v>0</v>
      </c>
      <c r="AC548" s="33" t="s">
        <v>649</v>
      </c>
      <c r="AD548" s="36" t="n">
        <f aca="false">B548-B547</f>
        <v>0.125</v>
      </c>
    </row>
    <row r="549" customFormat="false" ht="15" hidden="false" customHeight="false" outlineLevel="0" collapsed="false">
      <c r="A549" s="30" t="n">
        <v>546</v>
      </c>
      <c r="B549" s="31" t="n">
        <f aca="false">Summary!$B$5+IF(D549=1,0,IF(C549=1,Summary!$B$6,NA()))+(MATCH(1,E549:L549,0)-1)*Summary!$B$7+(MATCH(1,M549:T549,0)-1)*Summary!$B$8+(MATCH(1,U549:AB549,0)-1)*Summary!$B$9</f>
        <v>98.25</v>
      </c>
      <c r="C549" s="32" t="n">
        <v>1</v>
      </c>
      <c r="D549" s="32" t="n">
        <v>0</v>
      </c>
      <c r="E549" s="32" t="n">
        <v>0</v>
      </c>
      <c r="F549" s="32" t="n">
        <v>0</v>
      </c>
      <c r="G549" s="32" t="n">
        <v>0</v>
      </c>
      <c r="H549" s="32" t="n">
        <v>0</v>
      </c>
      <c r="I549" s="32" t="n">
        <v>1</v>
      </c>
      <c r="J549" s="32" t="n">
        <v>0</v>
      </c>
      <c r="K549" s="32" t="n">
        <v>0</v>
      </c>
      <c r="L549" s="32" t="n">
        <v>0</v>
      </c>
      <c r="M549" s="32" t="n">
        <v>0</v>
      </c>
      <c r="N549" s="32" t="n">
        <v>0</v>
      </c>
      <c r="O549" s="32" t="n">
        <v>0</v>
      </c>
      <c r="P549" s="32" t="n">
        <v>0</v>
      </c>
      <c r="Q549" s="32" t="n">
        <v>1</v>
      </c>
      <c r="R549" s="32" t="n">
        <v>0</v>
      </c>
      <c r="S549" s="32" t="n">
        <v>0</v>
      </c>
      <c r="T549" s="32" t="n">
        <v>0</v>
      </c>
      <c r="U549" s="32" t="n">
        <v>0</v>
      </c>
      <c r="V549" s="32" t="n">
        <v>0</v>
      </c>
      <c r="W549" s="32" t="n">
        <v>1</v>
      </c>
      <c r="X549" s="32" t="n">
        <v>0</v>
      </c>
      <c r="Y549" s="32" t="n">
        <v>0</v>
      </c>
      <c r="Z549" s="32" t="n">
        <v>0</v>
      </c>
      <c r="AA549" s="32" t="n">
        <v>0</v>
      </c>
      <c r="AB549" s="32" t="n">
        <v>0</v>
      </c>
      <c r="AC549" s="30" t="s">
        <v>650</v>
      </c>
      <c r="AD549" s="37" t="n">
        <f aca="false">B549-B548</f>
        <v>0.125</v>
      </c>
    </row>
    <row r="550" customFormat="false" ht="15" hidden="false" customHeight="false" outlineLevel="0" collapsed="false">
      <c r="A550" s="33" t="n">
        <v>547</v>
      </c>
      <c r="B550" s="34" t="n">
        <f aca="false">Summary!$B$5+IF(D550=1,0,IF(C550=1,Summary!$B$6,NA()))+(MATCH(1,E550:L550,0)-1)*Summary!$B$7+(MATCH(1,M550:T550,0)-1)*Summary!$B$8+(MATCH(1,U550:AB550,0)-1)*Summary!$B$9</f>
        <v>98.375</v>
      </c>
      <c r="C550" s="35" t="n">
        <v>1</v>
      </c>
      <c r="D550" s="35" t="n">
        <v>0</v>
      </c>
      <c r="E550" s="35" t="n">
        <v>0</v>
      </c>
      <c r="F550" s="35" t="n">
        <v>0</v>
      </c>
      <c r="G550" s="35" t="n">
        <v>0</v>
      </c>
      <c r="H550" s="35" t="n">
        <v>0</v>
      </c>
      <c r="I550" s="35" t="n">
        <v>1</v>
      </c>
      <c r="J550" s="35" t="n">
        <v>0</v>
      </c>
      <c r="K550" s="35" t="n">
        <v>0</v>
      </c>
      <c r="L550" s="35" t="n">
        <v>0</v>
      </c>
      <c r="M550" s="35" t="n">
        <v>0</v>
      </c>
      <c r="N550" s="35" t="n">
        <v>0</v>
      </c>
      <c r="O550" s="35" t="n">
        <v>0</v>
      </c>
      <c r="P550" s="35" t="n">
        <v>0</v>
      </c>
      <c r="Q550" s="35" t="n">
        <v>1</v>
      </c>
      <c r="R550" s="35" t="n">
        <v>0</v>
      </c>
      <c r="S550" s="35" t="n">
        <v>0</v>
      </c>
      <c r="T550" s="35" t="n">
        <v>0</v>
      </c>
      <c r="U550" s="35" t="n">
        <v>0</v>
      </c>
      <c r="V550" s="35" t="n">
        <v>0</v>
      </c>
      <c r="W550" s="35" t="n">
        <v>0</v>
      </c>
      <c r="X550" s="35" t="n">
        <v>1</v>
      </c>
      <c r="Y550" s="35" t="n">
        <v>0</v>
      </c>
      <c r="Z550" s="35" t="n">
        <v>0</v>
      </c>
      <c r="AA550" s="35" t="n">
        <v>0</v>
      </c>
      <c r="AB550" s="35" t="n">
        <v>0</v>
      </c>
      <c r="AC550" s="33" t="s">
        <v>651</v>
      </c>
      <c r="AD550" s="36" t="n">
        <f aca="false">B550-B549</f>
        <v>0.125</v>
      </c>
    </row>
    <row r="551" customFormat="false" ht="15" hidden="false" customHeight="false" outlineLevel="0" collapsed="false">
      <c r="A551" s="30" t="n">
        <v>548</v>
      </c>
      <c r="B551" s="31" t="n">
        <f aca="false">Summary!$B$5+IF(D551=1,0,IF(C551=1,Summary!$B$6,NA()))+(MATCH(1,E551:L551,0)-1)*Summary!$B$7+(MATCH(1,M551:T551,0)-1)*Summary!$B$8+(MATCH(1,U551:AB551,0)-1)*Summary!$B$9</f>
        <v>98.5</v>
      </c>
      <c r="C551" s="32" t="n">
        <v>1</v>
      </c>
      <c r="D551" s="32" t="n">
        <v>0</v>
      </c>
      <c r="E551" s="32" t="n">
        <v>0</v>
      </c>
      <c r="F551" s="32" t="n">
        <v>0</v>
      </c>
      <c r="G551" s="32" t="n">
        <v>0</v>
      </c>
      <c r="H551" s="32" t="n">
        <v>0</v>
      </c>
      <c r="I551" s="32" t="n">
        <v>1</v>
      </c>
      <c r="J551" s="32" t="n">
        <v>0</v>
      </c>
      <c r="K551" s="32" t="n">
        <v>0</v>
      </c>
      <c r="L551" s="32" t="n">
        <v>0</v>
      </c>
      <c r="M551" s="32" t="n">
        <v>0</v>
      </c>
      <c r="N551" s="32" t="n">
        <v>0</v>
      </c>
      <c r="O551" s="32" t="n">
        <v>0</v>
      </c>
      <c r="P551" s="32" t="n">
        <v>0</v>
      </c>
      <c r="Q551" s="32" t="n">
        <v>1</v>
      </c>
      <c r="R551" s="32" t="n">
        <v>0</v>
      </c>
      <c r="S551" s="32" t="n">
        <v>0</v>
      </c>
      <c r="T551" s="32" t="n">
        <v>0</v>
      </c>
      <c r="U551" s="32" t="n">
        <v>0</v>
      </c>
      <c r="V551" s="32" t="n">
        <v>0</v>
      </c>
      <c r="W551" s="32" t="n">
        <v>0</v>
      </c>
      <c r="X551" s="32" t="n">
        <v>0</v>
      </c>
      <c r="Y551" s="32" t="n">
        <v>1</v>
      </c>
      <c r="Z551" s="32" t="n">
        <v>0</v>
      </c>
      <c r="AA551" s="32" t="n">
        <v>0</v>
      </c>
      <c r="AB551" s="32" t="n">
        <v>0</v>
      </c>
      <c r="AC551" s="30" t="s">
        <v>652</v>
      </c>
      <c r="AD551" s="37" t="n">
        <f aca="false">B551-B550</f>
        <v>0.125</v>
      </c>
    </row>
    <row r="552" customFormat="false" ht="15" hidden="false" customHeight="false" outlineLevel="0" collapsed="false">
      <c r="A552" s="33" t="n">
        <v>549</v>
      </c>
      <c r="B552" s="34" t="n">
        <f aca="false">Summary!$B$5+IF(D552=1,0,IF(C552=1,Summary!$B$6,NA()))+(MATCH(1,E552:L552,0)-1)*Summary!$B$7+(MATCH(1,M552:T552,0)-1)*Summary!$B$8+(MATCH(1,U552:AB552,0)-1)*Summary!$B$9</f>
        <v>98.625</v>
      </c>
      <c r="C552" s="35" t="n">
        <v>1</v>
      </c>
      <c r="D552" s="35" t="n">
        <v>0</v>
      </c>
      <c r="E552" s="35" t="n">
        <v>0</v>
      </c>
      <c r="F552" s="35" t="n">
        <v>0</v>
      </c>
      <c r="G552" s="35" t="n">
        <v>0</v>
      </c>
      <c r="H552" s="35" t="n">
        <v>0</v>
      </c>
      <c r="I552" s="35" t="n">
        <v>1</v>
      </c>
      <c r="J552" s="35" t="n">
        <v>0</v>
      </c>
      <c r="K552" s="35" t="n">
        <v>0</v>
      </c>
      <c r="L552" s="35" t="n">
        <v>0</v>
      </c>
      <c r="M552" s="35" t="n">
        <v>0</v>
      </c>
      <c r="N552" s="35" t="n">
        <v>0</v>
      </c>
      <c r="O552" s="35" t="n">
        <v>0</v>
      </c>
      <c r="P552" s="35" t="n">
        <v>0</v>
      </c>
      <c r="Q552" s="35" t="n">
        <v>1</v>
      </c>
      <c r="R552" s="35" t="n">
        <v>0</v>
      </c>
      <c r="S552" s="35" t="n">
        <v>0</v>
      </c>
      <c r="T552" s="35" t="n">
        <v>0</v>
      </c>
      <c r="U552" s="35" t="n">
        <v>0</v>
      </c>
      <c r="V552" s="35" t="n">
        <v>0</v>
      </c>
      <c r="W552" s="35" t="n">
        <v>0</v>
      </c>
      <c r="X552" s="35" t="n">
        <v>0</v>
      </c>
      <c r="Y552" s="35" t="n">
        <v>0</v>
      </c>
      <c r="Z552" s="35" t="n">
        <v>1</v>
      </c>
      <c r="AA552" s="35" t="n">
        <v>0</v>
      </c>
      <c r="AB552" s="35" t="n">
        <v>0</v>
      </c>
      <c r="AC552" s="33" t="s">
        <v>653</v>
      </c>
      <c r="AD552" s="36" t="n">
        <f aca="false">B552-B551</f>
        <v>0.125</v>
      </c>
    </row>
    <row r="553" customFormat="false" ht="15" hidden="false" customHeight="false" outlineLevel="0" collapsed="false">
      <c r="A553" s="30" t="n">
        <v>550</v>
      </c>
      <c r="B553" s="31" t="n">
        <f aca="false">Summary!$B$5+IF(D553=1,0,IF(C553=1,Summary!$B$6,NA()))+(MATCH(1,E553:L553,0)-1)*Summary!$B$7+(MATCH(1,M553:T553,0)-1)*Summary!$B$8+(MATCH(1,U553:AB553,0)-1)*Summary!$B$9</f>
        <v>98.75</v>
      </c>
      <c r="C553" s="32" t="n">
        <v>1</v>
      </c>
      <c r="D553" s="32" t="n">
        <v>0</v>
      </c>
      <c r="E553" s="32" t="n">
        <v>0</v>
      </c>
      <c r="F553" s="32" t="n">
        <v>0</v>
      </c>
      <c r="G553" s="32" t="n">
        <v>0</v>
      </c>
      <c r="H553" s="32" t="n">
        <v>0</v>
      </c>
      <c r="I553" s="32" t="n">
        <v>1</v>
      </c>
      <c r="J553" s="32" t="n">
        <v>0</v>
      </c>
      <c r="K553" s="32" t="n">
        <v>0</v>
      </c>
      <c r="L553" s="32" t="n">
        <v>0</v>
      </c>
      <c r="M553" s="32" t="n">
        <v>0</v>
      </c>
      <c r="N553" s="32" t="n">
        <v>0</v>
      </c>
      <c r="O553" s="32" t="n">
        <v>0</v>
      </c>
      <c r="P553" s="32" t="n">
        <v>0</v>
      </c>
      <c r="Q553" s="32" t="n">
        <v>1</v>
      </c>
      <c r="R553" s="32" t="n">
        <v>0</v>
      </c>
      <c r="S553" s="32" t="n">
        <v>0</v>
      </c>
      <c r="T553" s="32" t="n">
        <v>0</v>
      </c>
      <c r="U553" s="32" t="n">
        <v>0</v>
      </c>
      <c r="V553" s="32" t="n">
        <v>0</v>
      </c>
      <c r="W553" s="32" t="n">
        <v>0</v>
      </c>
      <c r="X553" s="32" t="n">
        <v>0</v>
      </c>
      <c r="Y553" s="32" t="n">
        <v>0</v>
      </c>
      <c r="Z553" s="32" t="n">
        <v>0</v>
      </c>
      <c r="AA553" s="32" t="n">
        <v>1</v>
      </c>
      <c r="AB553" s="32" t="n">
        <v>0</v>
      </c>
      <c r="AC553" s="30" t="s">
        <v>654</v>
      </c>
      <c r="AD553" s="37" t="n">
        <f aca="false">B553-B552</f>
        <v>0.125</v>
      </c>
    </row>
    <row r="554" customFormat="false" ht="15" hidden="false" customHeight="false" outlineLevel="0" collapsed="false">
      <c r="A554" s="33" t="n">
        <v>551</v>
      </c>
      <c r="B554" s="34" t="n">
        <f aca="false">Summary!$B$5+IF(D554=1,0,IF(C554=1,Summary!$B$6,NA()))+(MATCH(1,E554:L554,0)-1)*Summary!$B$7+(MATCH(1,M554:T554,0)-1)*Summary!$B$8+(MATCH(1,U554:AB554,0)-1)*Summary!$B$9</f>
        <v>98.875</v>
      </c>
      <c r="C554" s="35" t="n">
        <v>1</v>
      </c>
      <c r="D554" s="35" t="n">
        <v>0</v>
      </c>
      <c r="E554" s="35" t="n">
        <v>0</v>
      </c>
      <c r="F554" s="35" t="n">
        <v>0</v>
      </c>
      <c r="G554" s="35" t="n">
        <v>0</v>
      </c>
      <c r="H554" s="35" t="n">
        <v>0</v>
      </c>
      <c r="I554" s="35" t="n">
        <v>1</v>
      </c>
      <c r="J554" s="35" t="n">
        <v>0</v>
      </c>
      <c r="K554" s="35" t="n">
        <v>0</v>
      </c>
      <c r="L554" s="35" t="n">
        <v>0</v>
      </c>
      <c r="M554" s="35" t="n">
        <v>0</v>
      </c>
      <c r="N554" s="35" t="n">
        <v>0</v>
      </c>
      <c r="O554" s="35" t="n">
        <v>0</v>
      </c>
      <c r="P554" s="35" t="n">
        <v>0</v>
      </c>
      <c r="Q554" s="35" t="n">
        <v>1</v>
      </c>
      <c r="R554" s="35" t="n">
        <v>0</v>
      </c>
      <c r="S554" s="35" t="n">
        <v>0</v>
      </c>
      <c r="T554" s="35" t="n">
        <v>0</v>
      </c>
      <c r="U554" s="35" t="n">
        <v>0</v>
      </c>
      <c r="V554" s="35" t="n">
        <v>0</v>
      </c>
      <c r="W554" s="35" t="n">
        <v>0</v>
      </c>
      <c r="X554" s="35" t="n">
        <v>0</v>
      </c>
      <c r="Y554" s="35" t="n">
        <v>0</v>
      </c>
      <c r="Z554" s="35" t="n">
        <v>0</v>
      </c>
      <c r="AA554" s="35" t="n">
        <v>0</v>
      </c>
      <c r="AB554" s="35" t="n">
        <v>1</v>
      </c>
      <c r="AC554" s="33" t="s">
        <v>655</v>
      </c>
      <c r="AD554" s="36" t="n">
        <f aca="false">B554-B553</f>
        <v>0.125</v>
      </c>
    </row>
    <row r="555" customFormat="false" ht="15" hidden="false" customHeight="false" outlineLevel="0" collapsed="false">
      <c r="A555" s="30" t="n">
        <v>552</v>
      </c>
      <c r="B555" s="31" t="n">
        <f aca="false">Summary!$B$5+IF(D555=1,0,IF(C555=1,Summary!$B$6,NA()))+(MATCH(1,E555:L555,0)-1)*Summary!$B$7+(MATCH(1,M555:T555,0)-1)*Summary!$B$8+(MATCH(1,U555:AB555,0)-1)*Summary!$B$9</f>
        <v>99</v>
      </c>
      <c r="C555" s="32" t="n">
        <v>1</v>
      </c>
      <c r="D555" s="32" t="n">
        <v>0</v>
      </c>
      <c r="E555" s="32" t="n">
        <v>0</v>
      </c>
      <c r="F555" s="32" t="n">
        <v>0</v>
      </c>
      <c r="G555" s="32" t="n">
        <v>0</v>
      </c>
      <c r="H555" s="32" t="n">
        <v>0</v>
      </c>
      <c r="I555" s="32" t="n">
        <v>1</v>
      </c>
      <c r="J555" s="32" t="n">
        <v>0</v>
      </c>
      <c r="K555" s="32" t="n">
        <v>0</v>
      </c>
      <c r="L555" s="32" t="n">
        <v>0</v>
      </c>
      <c r="M555" s="32" t="n">
        <v>0</v>
      </c>
      <c r="N555" s="32" t="n">
        <v>0</v>
      </c>
      <c r="O555" s="32" t="n">
        <v>0</v>
      </c>
      <c r="P555" s="32" t="n">
        <v>0</v>
      </c>
      <c r="Q555" s="32" t="n">
        <v>0</v>
      </c>
      <c r="R555" s="32" t="n">
        <v>1</v>
      </c>
      <c r="S555" s="32" t="n">
        <v>0</v>
      </c>
      <c r="T555" s="32" t="n">
        <v>0</v>
      </c>
      <c r="U555" s="32" t="n">
        <v>1</v>
      </c>
      <c r="V555" s="32" t="n">
        <v>0</v>
      </c>
      <c r="W555" s="32" t="n">
        <v>0</v>
      </c>
      <c r="X555" s="32" t="n">
        <v>0</v>
      </c>
      <c r="Y555" s="32" t="n">
        <v>0</v>
      </c>
      <c r="Z555" s="32" t="n">
        <v>0</v>
      </c>
      <c r="AA555" s="32" t="n">
        <v>0</v>
      </c>
      <c r="AB555" s="32" t="n">
        <v>0</v>
      </c>
      <c r="AC555" s="30" t="s">
        <v>656</v>
      </c>
      <c r="AD555" s="37" t="n">
        <f aca="false">B555-B554</f>
        <v>0.125</v>
      </c>
    </row>
    <row r="556" customFormat="false" ht="15" hidden="false" customHeight="false" outlineLevel="0" collapsed="false">
      <c r="A556" s="33" t="n">
        <v>553</v>
      </c>
      <c r="B556" s="34" t="n">
        <f aca="false">Summary!$B$5+IF(D556=1,0,IF(C556=1,Summary!$B$6,NA()))+(MATCH(1,E556:L556,0)-1)*Summary!$B$7+(MATCH(1,M556:T556,0)-1)*Summary!$B$8+(MATCH(1,U556:AB556,0)-1)*Summary!$B$9</f>
        <v>99.125</v>
      </c>
      <c r="C556" s="35" t="n">
        <v>1</v>
      </c>
      <c r="D556" s="35" t="n">
        <v>0</v>
      </c>
      <c r="E556" s="35" t="n">
        <v>0</v>
      </c>
      <c r="F556" s="35" t="n">
        <v>0</v>
      </c>
      <c r="G556" s="35" t="n">
        <v>0</v>
      </c>
      <c r="H556" s="35" t="n">
        <v>0</v>
      </c>
      <c r="I556" s="35" t="n">
        <v>1</v>
      </c>
      <c r="J556" s="35" t="n">
        <v>0</v>
      </c>
      <c r="K556" s="35" t="n">
        <v>0</v>
      </c>
      <c r="L556" s="35" t="n">
        <v>0</v>
      </c>
      <c r="M556" s="35" t="n">
        <v>0</v>
      </c>
      <c r="N556" s="35" t="n">
        <v>0</v>
      </c>
      <c r="O556" s="35" t="n">
        <v>0</v>
      </c>
      <c r="P556" s="35" t="n">
        <v>0</v>
      </c>
      <c r="Q556" s="35" t="n">
        <v>0</v>
      </c>
      <c r="R556" s="35" t="n">
        <v>1</v>
      </c>
      <c r="S556" s="35" t="n">
        <v>0</v>
      </c>
      <c r="T556" s="35" t="n">
        <v>0</v>
      </c>
      <c r="U556" s="35" t="n">
        <v>0</v>
      </c>
      <c r="V556" s="35" t="n">
        <v>1</v>
      </c>
      <c r="W556" s="35" t="n">
        <v>0</v>
      </c>
      <c r="X556" s="35" t="n">
        <v>0</v>
      </c>
      <c r="Y556" s="35" t="n">
        <v>0</v>
      </c>
      <c r="Z556" s="35" t="n">
        <v>0</v>
      </c>
      <c r="AA556" s="35" t="n">
        <v>0</v>
      </c>
      <c r="AB556" s="35" t="n">
        <v>0</v>
      </c>
      <c r="AC556" s="33" t="s">
        <v>657</v>
      </c>
      <c r="AD556" s="36" t="n">
        <f aca="false">B556-B555</f>
        <v>0.125</v>
      </c>
    </row>
    <row r="557" customFormat="false" ht="15" hidden="false" customHeight="false" outlineLevel="0" collapsed="false">
      <c r="A557" s="30" t="n">
        <v>554</v>
      </c>
      <c r="B557" s="31" t="n">
        <f aca="false">Summary!$B$5+IF(D557=1,0,IF(C557=1,Summary!$B$6,NA()))+(MATCH(1,E557:L557,0)-1)*Summary!$B$7+(MATCH(1,M557:T557,0)-1)*Summary!$B$8+(MATCH(1,U557:AB557,0)-1)*Summary!$B$9</f>
        <v>99.25</v>
      </c>
      <c r="C557" s="32" t="n">
        <v>1</v>
      </c>
      <c r="D557" s="32" t="n">
        <v>0</v>
      </c>
      <c r="E557" s="32" t="n">
        <v>0</v>
      </c>
      <c r="F557" s="32" t="n">
        <v>0</v>
      </c>
      <c r="G557" s="32" t="n">
        <v>0</v>
      </c>
      <c r="H557" s="32" t="n">
        <v>0</v>
      </c>
      <c r="I557" s="32" t="n">
        <v>1</v>
      </c>
      <c r="J557" s="32" t="n">
        <v>0</v>
      </c>
      <c r="K557" s="32" t="n">
        <v>0</v>
      </c>
      <c r="L557" s="32" t="n">
        <v>0</v>
      </c>
      <c r="M557" s="32" t="n">
        <v>0</v>
      </c>
      <c r="N557" s="32" t="n">
        <v>0</v>
      </c>
      <c r="O557" s="32" t="n">
        <v>0</v>
      </c>
      <c r="P557" s="32" t="n">
        <v>0</v>
      </c>
      <c r="Q557" s="32" t="n">
        <v>0</v>
      </c>
      <c r="R557" s="32" t="n">
        <v>1</v>
      </c>
      <c r="S557" s="32" t="n">
        <v>0</v>
      </c>
      <c r="T557" s="32" t="n">
        <v>0</v>
      </c>
      <c r="U557" s="32" t="n">
        <v>0</v>
      </c>
      <c r="V557" s="32" t="n">
        <v>0</v>
      </c>
      <c r="W557" s="32" t="n">
        <v>1</v>
      </c>
      <c r="X557" s="32" t="n">
        <v>0</v>
      </c>
      <c r="Y557" s="32" t="n">
        <v>0</v>
      </c>
      <c r="Z557" s="32" t="n">
        <v>0</v>
      </c>
      <c r="AA557" s="32" t="n">
        <v>0</v>
      </c>
      <c r="AB557" s="32" t="n">
        <v>0</v>
      </c>
      <c r="AC557" s="30" t="s">
        <v>658</v>
      </c>
      <c r="AD557" s="37" t="n">
        <f aca="false">B557-B556</f>
        <v>0.125</v>
      </c>
    </row>
    <row r="558" customFormat="false" ht="15" hidden="false" customHeight="false" outlineLevel="0" collapsed="false">
      <c r="A558" s="33" t="n">
        <v>555</v>
      </c>
      <c r="B558" s="34" t="n">
        <f aca="false">Summary!$B$5+IF(D558=1,0,IF(C558=1,Summary!$B$6,NA()))+(MATCH(1,E558:L558,0)-1)*Summary!$B$7+(MATCH(1,M558:T558,0)-1)*Summary!$B$8+(MATCH(1,U558:AB558,0)-1)*Summary!$B$9</f>
        <v>99.375</v>
      </c>
      <c r="C558" s="35" t="n">
        <v>1</v>
      </c>
      <c r="D558" s="35" t="n">
        <v>0</v>
      </c>
      <c r="E558" s="35" t="n">
        <v>0</v>
      </c>
      <c r="F558" s="35" t="n">
        <v>0</v>
      </c>
      <c r="G558" s="35" t="n">
        <v>0</v>
      </c>
      <c r="H558" s="35" t="n">
        <v>0</v>
      </c>
      <c r="I558" s="35" t="n">
        <v>1</v>
      </c>
      <c r="J558" s="35" t="n">
        <v>0</v>
      </c>
      <c r="K558" s="35" t="n">
        <v>0</v>
      </c>
      <c r="L558" s="35" t="n">
        <v>0</v>
      </c>
      <c r="M558" s="35" t="n">
        <v>0</v>
      </c>
      <c r="N558" s="35" t="n">
        <v>0</v>
      </c>
      <c r="O558" s="35" t="n">
        <v>0</v>
      </c>
      <c r="P558" s="35" t="n">
        <v>0</v>
      </c>
      <c r="Q558" s="35" t="n">
        <v>0</v>
      </c>
      <c r="R558" s="35" t="n">
        <v>1</v>
      </c>
      <c r="S558" s="35" t="n">
        <v>0</v>
      </c>
      <c r="T558" s="35" t="n">
        <v>0</v>
      </c>
      <c r="U558" s="35" t="n">
        <v>0</v>
      </c>
      <c r="V558" s="35" t="n">
        <v>0</v>
      </c>
      <c r="W558" s="35" t="n">
        <v>0</v>
      </c>
      <c r="X558" s="35" t="n">
        <v>1</v>
      </c>
      <c r="Y558" s="35" t="n">
        <v>0</v>
      </c>
      <c r="Z558" s="35" t="n">
        <v>0</v>
      </c>
      <c r="AA558" s="35" t="n">
        <v>0</v>
      </c>
      <c r="AB558" s="35" t="n">
        <v>0</v>
      </c>
      <c r="AC558" s="33" t="s">
        <v>659</v>
      </c>
      <c r="AD558" s="36" t="n">
        <f aca="false">B558-B557</f>
        <v>0.125</v>
      </c>
    </row>
    <row r="559" customFormat="false" ht="15" hidden="false" customHeight="false" outlineLevel="0" collapsed="false">
      <c r="A559" s="30" t="n">
        <v>556</v>
      </c>
      <c r="B559" s="31" t="n">
        <f aca="false">Summary!$B$5+IF(D559=1,0,IF(C559=1,Summary!$B$6,NA()))+(MATCH(1,E559:L559,0)-1)*Summary!$B$7+(MATCH(1,M559:T559,0)-1)*Summary!$B$8+(MATCH(1,U559:AB559,0)-1)*Summary!$B$9</f>
        <v>99.5</v>
      </c>
      <c r="C559" s="32" t="n">
        <v>1</v>
      </c>
      <c r="D559" s="32" t="n">
        <v>0</v>
      </c>
      <c r="E559" s="32" t="n">
        <v>0</v>
      </c>
      <c r="F559" s="32" t="n">
        <v>0</v>
      </c>
      <c r="G559" s="32" t="n">
        <v>0</v>
      </c>
      <c r="H559" s="32" t="n">
        <v>0</v>
      </c>
      <c r="I559" s="32" t="n">
        <v>1</v>
      </c>
      <c r="J559" s="32" t="n">
        <v>0</v>
      </c>
      <c r="K559" s="32" t="n">
        <v>0</v>
      </c>
      <c r="L559" s="32" t="n">
        <v>0</v>
      </c>
      <c r="M559" s="32" t="n">
        <v>0</v>
      </c>
      <c r="N559" s="32" t="n">
        <v>0</v>
      </c>
      <c r="O559" s="32" t="n">
        <v>0</v>
      </c>
      <c r="P559" s="32" t="n">
        <v>0</v>
      </c>
      <c r="Q559" s="32" t="n">
        <v>0</v>
      </c>
      <c r="R559" s="32" t="n">
        <v>1</v>
      </c>
      <c r="S559" s="32" t="n">
        <v>0</v>
      </c>
      <c r="T559" s="32" t="n">
        <v>0</v>
      </c>
      <c r="U559" s="32" t="n">
        <v>0</v>
      </c>
      <c r="V559" s="32" t="n">
        <v>0</v>
      </c>
      <c r="W559" s="32" t="n">
        <v>0</v>
      </c>
      <c r="X559" s="32" t="n">
        <v>0</v>
      </c>
      <c r="Y559" s="32" t="n">
        <v>1</v>
      </c>
      <c r="Z559" s="32" t="n">
        <v>0</v>
      </c>
      <c r="AA559" s="32" t="n">
        <v>0</v>
      </c>
      <c r="AB559" s="32" t="n">
        <v>0</v>
      </c>
      <c r="AC559" s="30" t="s">
        <v>660</v>
      </c>
      <c r="AD559" s="37" t="n">
        <f aca="false">B559-B558</f>
        <v>0.125</v>
      </c>
    </row>
    <row r="560" customFormat="false" ht="15" hidden="false" customHeight="false" outlineLevel="0" collapsed="false">
      <c r="A560" s="33" t="n">
        <v>557</v>
      </c>
      <c r="B560" s="34" t="n">
        <f aca="false">Summary!$B$5+IF(D560=1,0,IF(C560=1,Summary!$B$6,NA()))+(MATCH(1,E560:L560,0)-1)*Summary!$B$7+(MATCH(1,M560:T560,0)-1)*Summary!$B$8+(MATCH(1,U560:AB560,0)-1)*Summary!$B$9</f>
        <v>99.625</v>
      </c>
      <c r="C560" s="35" t="n">
        <v>1</v>
      </c>
      <c r="D560" s="35" t="n">
        <v>0</v>
      </c>
      <c r="E560" s="35" t="n">
        <v>0</v>
      </c>
      <c r="F560" s="35" t="n">
        <v>0</v>
      </c>
      <c r="G560" s="35" t="n">
        <v>0</v>
      </c>
      <c r="H560" s="35" t="n">
        <v>0</v>
      </c>
      <c r="I560" s="35" t="n">
        <v>1</v>
      </c>
      <c r="J560" s="35" t="n">
        <v>0</v>
      </c>
      <c r="K560" s="35" t="n">
        <v>0</v>
      </c>
      <c r="L560" s="35" t="n">
        <v>0</v>
      </c>
      <c r="M560" s="35" t="n">
        <v>0</v>
      </c>
      <c r="N560" s="35" t="n">
        <v>0</v>
      </c>
      <c r="O560" s="35" t="n">
        <v>0</v>
      </c>
      <c r="P560" s="35" t="n">
        <v>0</v>
      </c>
      <c r="Q560" s="35" t="n">
        <v>0</v>
      </c>
      <c r="R560" s="35" t="n">
        <v>1</v>
      </c>
      <c r="S560" s="35" t="n">
        <v>0</v>
      </c>
      <c r="T560" s="35" t="n">
        <v>0</v>
      </c>
      <c r="U560" s="35" t="n">
        <v>0</v>
      </c>
      <c r="V560" s="35" t="n">
        <v>0</v>
      </c>
      <c r="W560" s="35" t="n">
        <v>0</v>
      </c>
      <c r="X560" s="35" t="n">
        <v>0</v>
      </c>
      <c r="Y560" s="35" t="n">
        <v>0</v>
      </c>
      <c r="Z560" s="35" t="n">
        <v>1</v>
      </c>
      <c r="AA560" s="35" t="n">
        <v>0</v>
      </c>
      <c r="AB560" s="35" t="n">
        <v>0</v>
      </c>
      <c r="AC560" s="33" t="s">
        <v>661</v>
      </c>
      <c r="AD560" s="36" t="n">
        <f aca="false">B560-B559</f>
        <v>0.125</v>
      </c>
    </row>
    <row r="561" customFormat="false" ht="15" hidden="false" customHeight="false" outlineLevel="0" collapsed="false">
      <c r="A561" s="30" t="n">
        <v>558</v>
      </c>
      <c r="B561" s="31" t="n">
        <f aca="false">Summary!$B$5+IF(D561=1,0,IF(C561=1,Summary!$B$6,NA()))+(MATCH(1,E561:L561,0)-1)*Summary!$B$7+(MATCH(1,M561:T561,0)-1)*Summary!$B$8+(MATCH(1,U561:AB561,0)-1)*Summary!$B$9</f>
        <v>99.75</v>
      </c>
      <c r="C561" s="32" t="n">
        <v>1</v>
      </c>
      <c r="D561" s="32" t="n">
        <v>0</v>
      </c>
      <c r="E561" s="32" t="n">
        <v>0</v>
      </c>
      <c r="F561" s="32" t="n">
        <v>0</v>
      </c>
      <c r="G561" s="32" t="n">
        <v>0</v>
      </c>
      <c r="H561" s="32" t="n">
        <v>0</v>
      </c>
      <c r="I561" s="32" t="n">
        <v>1</v>
      </c>
      <c r="J561" s="32" t="n">
        <v>0</v>
      </c>
      <c r="K561" s="32" t="n">
        <v>0</v>
      </c>
      <c r="L561" s="32" t="n">
        <v>0</v>
      </c>
      <c r="M561" s="32" t="n">
        <v>0</v>
      </c>
      <c r="N561" s="32" t="n">
        <v>0</v>
      </c>
      <c r="O561" s="32" t="n">
        <v>0</v>
      </c>
      <c r="P561" s="32" t="n">
        <v>0</v>
      </c>
      <c r="Q561" s="32" t="n">
        <v>0</v>
      </c>
      <c r="R561" s="32" t="n">
        <v>1</v>
      </c>
      <c r="S561" s="32" t="n">
        <v>0</v>
      </c>
      <c r="T561" s="32" t="n">
        <v>0</v>
      </c>
      <c r="U561" s="32" t="n">
        <v>0</v>
      </c>
      <c r="V561" s="32" t="n">
        <v>0</v>
      </c>
      <c r="W561" s="32" t="n">
        <v>0</v>
      </c>
      <c r="X561" s="32" t="n">
        <v>0</v>
      </c>
      <c r="Y561" s="32" t="n">
        <v>0</v>
      </c>
      <c r="Z561" s="32" t="n">
        <v>0</v>
      </c>
      <c r="AA561" s="32" t="n">
        <v>1</v>
      </c>
      <c r="AB561" s="32" t="n">
        <v>0</v>
      </c>
      <c r="AC561" s="30" t="s">
        <v>662</v>
      </c>
      <c r="AD561" s="37" t="n">
        <f aca="false">B561-B560</f>
        <v>0.125</v>
      </c>
    </row>
    <row r="562" customFormat="false" ht="15" hidden="false" customHeight="false" outlineLevel="0" collapsed="false">
      <c r="A562" s="33" t="n">
        <v>559</v>
      </c>
      <c r="B562" s="34" t="n">
        <f aca="false">Summary!$B$5+IF(D562=1,0,IF(C562=1,Summary!$B$6,NA()))+(MATCH(1,E562:L562,0)-1)*Summary!$B$7+(MATCH(1,M562:T562,0)-1)*Summary!$B$8+(MATCH(1,U562:AB562,0)-1)*Summary!$B$9</f>
        <v>99.875</v>
      </c>
      <c r="C562" s="35" t="n">
        <v>1</v>
      </c>
      <c r="D562" s="35" t="n">
        <v>0</v>
      </c>
      <c r="E562" s="35" t="n">
        <v>0</v>
      </c>
      <c r="F562" s="35" t="n">
        <v>0</v>
      </c>
      <c r="G562" s="35" t="n">
        <v>0</v>
      </c>
      <c r="H562" s="35" t="n">
        <v>0</v>
      </c>
      <c r="I562" s="35" t="n">
        <v>1</v>
      </c>
      <c r="J562" s="35" t="n">
        <v>0</v>
      </c>
      <c r="K562" s="35" t="n">
        <v>0</v>
      </c>
      <c r="L562" s="35" t="n">
        <v>0</v>
      </c>
      <c r="M562" s="35" t="n">
        <v>0</v>
      </c>
      <c r="N562" s="35" t="n">
        <v>0</v>
      </c>
      <c r="O562" s="35" t="n">
        <v>0</v>
      </c>
      <c r="P562" s="35" t="n">
        <v>0</v>
      </c>
      <c r="Q562" s="35" t="n">
        <v>0</v>
      </c>
      <c r="R562" s="35" t="n">
        <v>1</v>
      </c>
      <c r="S562" s="35" t="n">
        <v>0</v>
      </c>
      <c r="T562" s="35" t="n">
        <v>0</v>
      </c>
      <c r="U562" s="35" t="n">
        <v>0</v>
      </c>
      <c r="V562" s="35" t="n">
        <v>0</v>
      </c>
      <c r="W562" s="35" t="n">
        <v>0</v>
      </c>
      <c r="X562" s="35" t="n">
        <v>0</v>
      </c>
      <c r="Y562" s="35" t="n">
        <v>0</v>
      </c>
      <c r="Z562" s="35" t="n">
        <v>0</v>
      </c>
      <c r="AA562" s="35" t="n">
        <v>0</v>
      </c>
      <c r="AB562" s="35" t="n">
        <v>1</v>
      </c>
      <c r="AC562" s="33" t="s">
        <v>663</v>
      </c>
      <c r="AD562" s="36" t="n">
        <f aca="false">B562-B561</f>
        <v>0.125</v>
      </c>
    </row>
    <row r="563" customFormat="false" ht="15" hidden="false" customHeight="false" outlineLevel="0" collapsed="false">
      <c r="A563" s="30" t="n">
        <v>560</v>
      </c>
      <c r="B563" s="31" t="n">
        <f aca="false">Summary!$B$5+IF(D563=1,0,IF(C563=1,Summary!$B$6,NA()))+(MATCH(1,E563:L563,0)-1)*Summary!$B$7+(MATCH(1,M563:T563,0)-1)*Summary!$B$8+(MATCH(1,U563:AB563,0)-1)*Summary!$B$9</f>
        <v>100</v>
      </c>
      <c r="C563" s="32" t="n">
        <v>1</v>
      </c>
      <c r="D563" s="32" t="n">
        <v>0</v>
      </c>
      <c r="E563" s="32" t="n">
        <v>0</v>
      </c>
      <c r="F563" s="32" t="n">
        <v>0</v>
      </c>
      <c r="G563" s="32" t="n">
        <v>0</v>
      </c>
      <c r="H563" s="32" t="n">
        <v>0</v>
      </c>
      <c r="I563" s="32" t="n">
        <v>1</v>
      </c>
      <c r="J563" s="32" t="n">
        <v>0</v>
      </c>
      <c r="K563" s="32" t="n">
        <v>0</v>
      </c>
      <c r="L563" s="32" t="n">
        <v>0</v>
      </c>
      <c r="M563" s="32" t="n">
        <v>0</v>
      </c>
      <c r="N563" s="32" t="n">
        <v>0</v>
      </c>
      <c r="O563" s="32" t="n">
        <v>0</v>
      </c>
      <c r="P563" s="32" t="n">
        <v>0</v>
      </c>
      <c r="Q563" s="32" t="n">
        <v>0</v>
      </c>
      <c r="R563" s="32" t="n">
        <v>0</v>
      </c>
      <c r="S563" s="32" t="n">
        <v>1</v>
      </c>
      <c r="T563" s="32" t="n">
        <v>0</v>
      </c>
      <c r="U563" s="32" t="n">
        <v>1</v>
      </c>
      <c r="V563" s="32" t="n">
        <v>0</v>
      </c>
      <c r="W563" s="32" t="n">
        <v>0</v>
      </c>
      <c r="X563" s="32" t="n">
        <v>0</v>
      </c>
      <c r="Y563" s="32" t="n">
        <v>0</v>
      </c>
      <c r="Z563" s="32" t="n">
        <v>0</v>
      </c>
      <c r="AA563" s="32" t="n">
        <v>0</v>
      </c>
      <c r="AB563" s="32" t="n">
        <v>0</v>
      </c>
      <c r="AC563" s="30" t="s">
        <v>664</v>
      </c>
      <c r="AD563" s="37" t="n">
        <f aca="false">B563-B562</f>
        <v>0.125</v>
      </c>
    </row>
    <row r="564" customFormat="false" ht="15" hidden="false" customHeight="false" outlineLevel="0" collapsed="false">
      <c r="A564" s="33" t="n">
        <v>561</v>
      </c>
      <c r="B564" s="34" t="n">
        <f aca="false">Summary!$B$5+IF(D564=1,0,IF(C564=1,Summary!$B$6,NA()))+(MATCH(1,E564:L564,0)-1)*Summary!$B$7+(MATCH(1,M564:T564,0)-1)*Summary!$B$8+(MATCH(1,U564:AB564,0)-1)*Summary!$B$9</f>
        <v>100.125</v>
      </c>
      <c r="C564" s="35" t="n">
        <v>1</v>
      </c>
      <c r="D564" s="35" t="n">
        <v>0</v>
      </c>
      <c r="E564" s="35" t="n">
        <v>0</v>
      </c>
      <c r="F564" s="35" t="n">
        <v>0</v>
      </c>
      <c r="G564" s="35" t="n">
        <v>0</v>
      </c>
      <c r="H564" s="35" t="n">
        <v>0</v>
      </c>
      <c r="I564" s="35" t="n">
        <v>1</v>
      </c>
      <c r="J564" s="35" t="n">
        <v>0</v>
      </c>
      <c r="K564" s="35" t="n">
        <v>0</v>
      </c>
      <c r="L564" s="35" t="n">
        <v>0</v>
      </c>
      <c r="M564" s="35" t="n">
        <v>0</v>
      </c>
      <c r="N564" s="35" t="n">
        <v>0</v>
      </c>
      <c r="O564" s="35" t="n">
        <v>0</v>
      </c>
      <c r="P564" s="35" t="n">
        <v>0</v>
      </c>
      <c r="Q564" s="35" t="n">
        <v>0</v>
      </c>
      <c r="R564" s="35" t="n">
        <v>0</v>
      </c>
      <c r="S564" s="35" t="n">
        <v>1</v>
      </c>
      <c r="T564" s="35" t="n">
        <v>0</v>
      </c>
      <c r="U564" s="35" t="n">
        <v>0</v>
      </c>
      <c r="V564" s="35" t="n">
        <v>1</v>
      </c>
      <c r="W564" s="35" t="n">
        <v>0</v>
      </c>
      <c r="X564" s="35" t="n">
        <v>0</v>
      </c>
      <c r="Y564" s="35" t="n">
        <v>0</v>
      </c>
      <c r="Z564" s="35" t="n">
        <v>0</v>
      </c>
      <c r="AA564" s="35" t="n">
        <v>0</v>
      </c>
      <c r="AB564" s="35" t="n">
        <v>0</v>
      </c>
      <c r="AC564" s="33" t="s">
        <v>665</v>
      </c>
      <c r="AD564" s="36" t="n">
        <f aca="false">B564-B563</f>
        <v>0.125</v>
      </c>
    </row>
    <row r="565" customFormat="false" ht="15" hidden="false" customHeight="false" outlineLevel="0" collapsed="false">
      <c r="A565" s="30" t="n">
        <v>562</v>
      </c>
      <c r="B565" s="31" t="n">
        <f aca="false">Summary!$B$5+IF(D565=1,0,IF(C565=1,Summary!$B$6,NA()))+(MATCH(1,E565:L565,0)-1)*Summary!$B$7+(MATCH(1,M565:T565,0)-1)*Summary!$B$8+(MATCH(1,U565:AB565,0)-1)*Summary!$B$9</f>
        <v>100.25</v>
      </c>
      <c r="C565" s="32" t="n">
        <v>1</v>
      </c>
      <c r="D565" s="32" t="n">
        <v>0</v>
      </c>
      <c r="E565" s="32" t="n">
        <v>0</v>
      </c>
      <c r="F565" s="32" t="n">
        <v>0</v>
      </c>
      <c r="G565" s="32" t="n">
        <v>0</v>
      </c>
      <c r="H565" s="32" t="n">
        <v>0</v>
      </c>
      <c r="I565" s="32" t="n">
        <v>1</v>
      </c>
      <c r="J565" s="32" t="n">
        <v>0</v>
      </c>
      <c r="K565" s="32" t="n">
        <v>0</v>
      </c>
      <c r="L565" s="32" t="n">
        <v>0</v>
      </c>
      <c r="M565" s="32" t="n">
        <v>0</v>
      </c>
      <c r="N565" s="32" t="n">
        <v>0</v>
      </c>
      <c r="O565" s="32" t="n">
        <v>0</v>
      </c>
      <c r="P565" s="32" t="n">
        <v>0</v>
      </c>
      <c r="Q565" s="32" t="n">
        <v>0</v>
      </c>
      <c r="R565" s="32" t="n">
        <v>0</v>
      </c>
      <c r="S565" s="32" t="n">
        <v>1</v>
      </c>
      <c r="T565" s="32" t="n">
        <v>0</v>
      </c>
      <c r="U565" s="32" t="n">
        <v>0</v>
      </c>
      <c r="V565" s="32" t="n">
        <v>0</v>
      </c>
      <c r="W565" s="32" t="n">
        <v>1</v>
      </c>
      <c r="X565" s="32" t="n">
        <v>0</v>
      </c>
      <c r="Y565" s="32" t="n">
        <v>0</v>
      </c>
      <c r="Z565" s="32" t="n">
        <v>0</v>
      </c>
      <c r="AA565" s="32" t="n">
        <v>0</v>
      </c>
      <c r="AB565" s="32" t="n">
        <v>0</v>
      </c>
      <c r="AC565" s="30" t="s">
        <v>666</v>
      </c>
      <c r="AD565" s="37" t="n">
        <f aca="false">B565-B564</f>
        <v>0.125</v>
      </c>
    </row>
    <row r="566" customFormat="false" ht="15" hidden="false" customHeight="false" outlineLevel="0" collapsed="false">
      <c r="A566" s="33" t="n">
        <v>563</v>
      </c>
      <c r="B566" s="34" t="n">
        <f aca="false">Summary!$B$5+IF(D566=1,0,IF(C566=1,Summary!$B$6,NA()))+(MATCH(1,E566:L566,0)-1)*Summary!$B$7+(MATCH(1,M566:T566,0)-1)*Summary!$B$8+(MATCH(1,U566:AB566,0)-1)*Summary!$B$9</f>
        <v>100.375</v>
      </c>
      <c r="C566" s="35" t="n">
        <v>1</v>
      </c>
      <c r="D566" s="35" t="n">
        <v>0</v>
      </c>
      <c r="E566" s="35" t="n">
        <v>0</v>
      </c>
      <c r="F566" s="35" t="n">
        <v>0</v>
      </c>
      <c r="G566" s="35" t="n">
        <v>0</v>
      </c>
      <c r="H566" s="35" t="n">
        <v>0</v>
      </c>
      <c r="I566" s="35" t="n">
        <v>1</v>
      </c>
      <c r="J566" s="35" t="n">
        <v>0</v>
      </c>
      <c r="K566" s="35" t="n">
        <v>0</v>
      </c>
      <c r="L566" s="35" t="n">
        <v>0</v>
      </c>
      <c r="M566" s="35" t="n">
        <v>0</v>
      </c>
      <c r="N566" s="35" t="n">
        <v>0</v>
      </c>
      <c r="O566" s="35" t="n">
        <v>0</v>
      </c>
      <c r="P566" s="35" t="n">
        <v>0</v>
      </c>
      <c r="Q566" s="35" t="n">
        <v>0</v>
      </c>
      <c r="R566" s="35" t="n">
        <v>0</v>
      </c>
      <c r="S566" s="35" t="n">
        <v>1</v>
      </c>
      <c r="T566" s="35" t="n">
        <v>0</v>
      </c>
      <c r="U566" s="35" t="n">
        <v>0</v>
      </c>
      <c r="V566" s="35" t="n">
        <v>0</v>
      </c>
      <c r="W566" s="35" t="n">
        <v>0</v>
      </c>
      <c r="X566" s="35" t="n">
        <v>1</v>
      </c>
      <c r="Y566" s="35" t="n">
        <v>0</v>
      </c>
      <c r="Z566" s="35" t="n">
        <v>0</v>
      </c>
      <c r="AA566" s="35" t="n">
        <v>0</v>
      </c>
      <c r="AB566" s="35" t="n">
        <v>0</v>
      </c>
      <c r="AC566" s="33" t="s">
        <v>667</v>
      </c>
      <c r="AD566" s="36" t="n">
        <f aca="false">B566-B565</f>
        <v>0.125</v>
      </c>
    </row>
    <row r="567" customFormat="false" ht="15" hidden="false" customHeight="false" outlineLevel="0" collapsed="false">
      <c r="A567" s="30" t="n">
        <v>564</v>
      </c>
      <c r="B567" s="31" t="n">
        <f aca="false">Summary!$B$5+IF(D567=1,0,IF(C567=1,Summary!$B$6,NA()))+(MATCH(1,E567:L567,0)-1)*Summary!$B$7+(MATCH(1,M567:T567,0)-1)*Summary!$B$8+(MATCH(1,U567:AB567,0)-1)*Summary!$B$9</f>
        <v>100.5</v>
      </c>
      <c r="C567" s="32" t="n">
        <v>1</v>
      </c>
      <c r="D567" s="32" t="n">
        <v>0</v>
      </c>
      <c r="E567" s="32" t="n">
        <v>0</v>
      </c>
      <c r="F567" s="32" t="n">
        <v>0</v>
      </c>
      <c r="G567" s="32" t="n">
        <v>0</v>
      </c>
      <c r="H567" s="32" t="n">
        <v>0</v>
      </c>
      <c r="I567" s="32" t="n">
        <v>1</v>
      </c>
      <c r="J567" s="32" t="n">
        <v>0</v>
      </c>
      <c r="K567" s="32" t="n">
        <v>0</v>
      </c>
      <c r="L567" s="32" t="n">
        <v>0</v>
      </c>
      <c r="M567" s="32" t="n">
        <v>0</v>
      </c>
      <c r="N567" s="32" t="n">
        <v>0</v>
      </c>
      <c r="O567" s="32" t="n">
        <v>0</v>
      </c>
      <c r="P567" s="32" t="n">
        <v>0</v>
      </c>
      <c r="Q567" s="32" t="n">
        <v>0</v>
      </c>
      <c r="R567" s="32" t="n">
        <v>0</v>
      </c>
      <c r="S567" s="32" t="n">
        <v>1</v>
      </c>
      <c r="T567" s="32" t="n">
        <v>0</v>
      </c>
      <c r="U567" s="32" t="n">
        <v>0</v>
      </c>
      <c r="V567" s="32" t="n">
        <v>0</v>
      </c>
      <c r="W567" s="32" t="n">
        <v>0</v>
      </c>
      <c r="X567" s="32" t="n">
        <v>0</v>
      </c>
      <c r="Y567" s="32" t="n">
        <v>1</v>
      </c>
      <c r="Z567" s="32" t="n">
        <v>0</v>
      </c>
      <c r="AA567" s="32" t="n">
        <v>0</v>
      </c>
      <c r="AB567" s="32" t="n">
        <v>0</v>
      </c>
      <c r="AC567" s="30" t="s">
        <v>668</v>
      </c>
      <c r="AD567" s="37" t="n">
        <f aca="false">B567-B566</f>
        <v>0.125</v>
      </c>
    </row>
    <row r="568" customFormat="false" ht="15" hidden="false" customHeight="false" outlineLevel="0" collapsed="false">
      <c r="A568" s="33" t="n">
        <v>565</v>
      </c>
      <c r="B568" s="34" t="n">
        <f aca="false">Summary!$B$5+IF(D568=1,0,IF(C568=1,Summary!$B$6,NA()))+(MATCH(1,E568:L568,0)-1)*Summary!$B$7+(MATCH(1,M568:T568,0)-1)*Summary!$B$8+(MATCH(1,U568:AB568,0)-1)*Summary!$B$9</f>
        <v>100.625</v>
      </c>
      <c r="C568" s="35" t="n">
        <v>1</v>
      </c>
      <c r="D568" s="35" t="n">
        <v>0</v>
      </c>
      <c r="E568" s="35" t="n">
        <v>0</v>
      </c>
      <c r="F568" s="35" t="n">
        <v>0</v>
      </c>
      <c r="G568" s="35" t="n">
        <v>0</v>
      </c>
      <c r="H568" s="35" t="n">
        <v>0</v>
      </c>
      <c r="I568" s="35" t="n">
        <v>1</v>
      </c>
      <c r="J568" s="35" t="n">
        <v>0</v>
      </c>
      <c r="K568" s="35" t="n">
        <v>0</v>
      </c>
      <c r="L568" s="35" t="n">
        <v>0</v>
      </c>
      <c r="M568" s="35" t="n">
        <v>0</v>
      </c>
      <c r="N568" s="35" t="n">
        <v>0</v>
      </c>
      <c r="O568" s="35" t="n">
        <v>0</v>
      </c>
      <c r="P568" s="35" t="n">
        <v>0</v>
      </c>
      <c r="Q568" s="35" t="n">
        <v>0</v>
      </c>
      <c r="R568" s="35" t="n">
        <v>0</v>
      </c>
      <c r="S568" s="35" t="n">
        <v>1</v>
      </c>
      <c r="T568" s="35" t="n">
        <v>0</v>
      </c>
      <c r="U568" s="35" t="n">
        <v>0</v>
      </c>
      <c r="V568" s="35" t="n">
        <v>0</v>
      </c>
      <c r="W568" s="35" t="n">
        <v>0</v>
      </c>
      <c r="X568" s="35" t="n">
        <v>0</v>
      </c>
      <c r="Y568" s="35" t="n">
        <v>0</v>
      </c>
      <c r="Z568" s="35" t="n">
        <v>1</v>
      </c>
      <c r="AA568" s="35" t="n">
        <v>0</v>
      </c>
      <c r="AB568" s="35" t="n">
        <v>0</v>
      </c>
      <c r="AC568" s="33" t="s">
        <v>669</v>
      </c>
      <c r="AD568" s="36" t="n">
        <f aca="false">B568-B567</f>
        <v>0.125</v>
      </c>
    </row>
    <row r="569" customFormat="false" ht="15" hidden="false" customHeight="false" outlineLevel="0" collapsed="false">
      <c r="A569" s="30" t="n">
        <v>566</v>
      </c>
      <c r="B569" s="31" t="n">
        <f aca="false">Summary!$B$5+IF(D569=1,0,IF(C569=1,Summary!$B$6,NA()))+(MATCH(1,E569:L569,0)-1)*Summary!$B$7+(MATCH(1,M569:T569,0)-1)*Summary!$B$8+(MATCH(1,U569:AB569,0)-1)*Summary!$B$9</f>
        <v>100.75</v>
      </c>
      <c r="C569" s="32" t="n">
        <v>1</v>
      </c>
      <c r="D569" s="32" t="n">
        <v>0</v>
      </c>
      <c r="E569" s="32" t="n">
        <v>0</v>
      </c>
      <c r="F569" s="32" t="n">
        <v>0</v>
      </c>
      <c r="G569" s="32" t="n">
        <v>0</v>
      </c>
      <c r="H569" s="32" t="n">
        <v>0</v>
      </c>
      <c r="I569" s="32" t="n">
        <v>1</v>
      </c>
      <c r="J569" s="32" t="n">
        <v>0</v>
      </c>
      <c r="K569" s="32" t="n">
        <v>0</v>
      </c>
      <c r="L569" s="32" t="n">
        <v>0</v>
      </c>
      <c r="M569" s="32" t="n">
        <v>0</v>
      </c>
      <c r="N569" s="32" t="n">
        <v>0</v>
      </c>
      <c r="O569" s="32" t="n">
        <v>0</v>
      </c>
      <c r="P569" s="32" t="n">
        <v>0</v>
      </c>
      <c r="Q569" s="32" t="n">
        <v>0</v>
      </c>
      <c r="R569" s="32" t="n">
        <v>0</v>
      </c>
      <c r="S569" s="32" t="n">
        <v>1</v>
      </c>
      <c r="T569" s="32" t="n">
        <v>0</v>
      </c>
      <c r="U569" s="32" t="n">
        <v>0</v>
      </c>
      <c r="V569" s="32" t="n">
        <v>0</v>
      </c>
      <c r="W569" s="32" t="n">
        <v>0</v>
      </c>
      <c r="X569" s="32" t="n">
        <v>0</v>
      </c>
      <c r="Y569" s="32" t="n">
        <v>0</v>
      </c>
      <c r="Z569" s="32" t="n">
        <v>0</v>
      </c>
      <c r="AA569" s="32" t="n">
        <v>1</v>
      </c>
      <c r="AB569" s="32" t="n">
        <v>0</v>
      </c>
      <c r="AC569" s="30" t="s">
        <v>670</v>
      </c>
      <c r="AD569" s="37" t="n">
        <f aca="false">B569-B568</f>
        <v>0.125</v>
      </c>
    </row>
    <row r="570" customFormat="false" ht="15" hidden="false" customHeight="false" outlineLevel="0" collapsed="false">
      <c r="A570" s="33" t="n">
        <v>567</v>
      </c>
      <c r="B570" s="34" t="n">
        <f aca="false">Summary!$B$5+IF(D570=1,0,IF(C570=1,Summary!$B$6,NA()))+(MATCH(1,E570:L570,0)-1)*Summary!$B$7+(MATCH(1,M570:T570,0)-1)*Summary!$B$8+(MATCH(1,U570:AB570,0)-1)*Summary!$B$9</f>
        <v>100.875</v>
      </c>
      <c r="C570" s="35" t="n">
        <v>1</v>
      </c>
      <c r="D570" s="35" t="n">
        <v>0</v>
      </c>
      <c r="E570" s="35" t="n">
        <v>0</v>
      </c>
      <c r="F570" s="35" t="n">
        <v>0</v>
      </c>
      <c r="G570" s="35" t="n">
        <v>0</v>
      </c>
      <c r="H570" s="35" t="n">
        <v>0</v>
      </c>
      <c r="I570" s="35" t="n">
        <v>1</v>
      </c>
      <c r="J570" s="35" t="n">
        <v>0</v>
      </c>
      <c r="K570" s="35" t="n">
        <v>0</v>
      </c>
      <c r="L570" s="35" t="n">
        <v>0</v>
      </c>
      <c r="M570" s="35" t="n">
        <v>0</v>
      </c>
      <c r="N570" s="35" t="n">
        <v>0</v>
      </c>
      <c r="O570" s="35" t="n">
        <v>0</v>
      </c>
      <c r="P570" s="35" t="n">
        <v>0</v>
      </c>
      <c r="Q570" s="35" t="n">
        <v>0</v>
      </c>
      <c r="R570" s="35" t="n">
        <v>0</v>
      </c>
      <c r="S570" s="35" t="n">
        <v>1</v>
      </c>
      <c r="T570" s="35" t="n">
        <v>0</v>
      </c>
      <c r="U570" s="35" t="n">
        <v>0</v>
      </c>
      <c r="V570" s="35" t="n">
        <v>0</v>
      </c>
      <c r="W570" s="35" t="n">
        <v>0</v>
      </c>
      <c r="X570" s="35" t="n">
        <v>0</v>
      </c>
      <c r="Y570" s="35" t="n">
        <v>0</v>
      </c>
      <c r="Z570" s="35" t="n">
        <v>0</v>
      </c>
      <c r="AA570" s="35" t="n">
        <v>0</v>
      </c>
      <c r="AB570" s="35" t="n">
        <v>1</v>
      </c>
      <c r="AC570" s="33" t="s">
        <v>671</v>
      </c>
      <c r="AD570" s="36" t="n">
        <f aca="false">B570-B569</f>
        <v>0.125</v>
      </c>
    </row>
    <row r="571" customFormat="false" ht="15" hidden="false" customHeight="false" outlineLevel="0" collapsed="false">
      <c r="A571" s="30" t="n">
        <v>568</v>
      </c>
      <c r="B571" s="31" t="n">
        <f aca="false">Summary!$B$5+IF(D571=1,0,IF(C571=1,Summary!$B$6,NA()))+(MATCH(1,E571:L571,0)-1)*Summary!$B$7+(MATCH(1,M571:T571,0)-1)*Summary!$B$8+(MATCH(1,U571:AB571,0)-1)*Summary!$B$9</f>
        <v>101</v>
      </c>
      <c r="C571" s="32" t="n">
        <v>1</v>
      </c>
      <c r="D571" s="32" t="n">
        <v>0</v>
      </c>
      <c r="E571" s="32" t="n">
        <v>0</v>
      </c>
      <c r="F571" s="32" t="n">
        <v>0</v>
      </c>
      <c r="G571" s="32" t="n">
        <v>0</v>
      </c>
      <c r="H571" s="32" t="n">
        <v>0</v>
      </c>
      <c r="I571" s="32" t="n">
        <v>1</v>
      </c>
      <c r="J571" s="32" t="n">
        <v>0</v>
      </c>
      <c r="K571" s="32" t="n">
        <v>0</v>
      </c>
      <c r="L571" s="32" t="n">
        <v>0</v>
      </c>
      <c r="M571" s="32" t="n">
        <v>0</v>
      </c>
      <c r="N571" s="32" t="n">
        <v>0</v>
      </c>
      <c r="O571" s="32" t="n">
        <v>0</v>
      </c>
      <c r="P571" s="32" t="n">
        <v>0</v>
      </c>
      <c r="Q571" s="32" t="n">
        <v>0</v>
      </c>
      <c r="R571" s="32" t="n">
        <v>0</v>
      </c>
      <c r="S571" s="32" t="n">
        <v>0</v>
      </c>
      <c r="T571" s="32" t="n">
        <v>1</v>
      </c>
      <c r="U571" s="32" t="n">
        <v>1</v>
      </c>
      <c r="V571" s="32" t="n">
        <v>0</v>
      </c>
      <c r="W571" s="32" t="n">
        <v>0</v>
      </c>
      <c r="X571" s="32" t="n">
        <v>0</v>
      </c>
      <c r="Y571" s="32" t="n">
        <v>0</v>
      </c>
      <c r="Z571" s="32" t="n">
        <v>0</v>
      </c>
      <c r="AA571" s="32" t="n">
        <v>0</v>
      </c>
      <c r="AB571" s="32" t="n">
        <v>0</v>
      </c>
      <c r="AC571" s="30" t="s">
        <v>672</v>
      </c>
      <c r="AD571" s="37" t="n">
        <f aca="false">B571-B570</f>
        <v>0.125</v>
      </c>
    </row>
    <row r="572" customFormat="false" ht="15" hidden="false" customHeight="false" outlineLevel="0" collapsed="false">
      <c r="A572" s="33" t="n">
        <v>569</v>
      </c>
      <c r="B572" s="34" t="n">
        <f aca="false">Summary!$B$5+IF(D572=1,0,IF(C572=1,Summary!$B$6,NA()))+(MATCH(1,E572:L572,0)-1)*Summary!$B$7+(MATCH(1,M572:T572,0)-1)*Summary!$B$8+(MATCH(1,U572:AB572,0)-1)*Summary!$B$9</f>
        <v>101.125</v>
      </c>
      <c r="C572" s="35" t="n">
        <v>1</v>
      </c>
      <c r="D572" s="35" t="n">
        <v>0</v>
      </c>
      <c r="E572" s="35" t="n">
        <v>0</v>
      </c>
      <c r="F572" s="35" t="n">
        <v>0</v>
      </c>
      <c r="G572" s="35" t="n">
        <v>0</v>
      </c>
      <c r="H572" s="35" t="n">
        <v>0</v>
      </c>
      <c r="I572" s="35" t="n">
        <v>1</v>
      </c>
      <c r="J572" s="35" t="n">
        <v>0</v>
      </c>
      <c r="K572" s="35" t="n">
        <v>0</v>
      </c>
      <c r="L572" s="35" t="n">
        <v>0</v>
      </c>
      <c r="M572" s="35" t="n">
        <v>0</v>
      </c>
      <c r="N572" s="35" t="n">
        <v>0</v>
      </c>
      <c r="O572" s="35" t="n">
        <v>0</v>
      </c>
      <c r="P572" s="35" t="n">
        <v>0</v>
      </c>
      <c r="Q572" s="35" t="n">
        <v>0</v>
      </c>
      <c r="R572" s="35" t="n">
        <v>0</v>
      </c>
      <c r="S572" s="35" t="n">
        <v>0</v>
      </c>
      <c r="T572" s="35" t="n">
        <v>1</v>
      </c>
      <c r="U572" s="35" t="n">
        <v>0</v>
      </c>
      <c r="V572" s="35" t="n">
        <v>1</v>
      </c>
      <c r="W572" s="35" t="n">
        <v>0</v>
      </c>
      <c r="X572" s="35" t="n">
        <v>0</v>
      </c>
      <c r="Y572" s="35" t="n">
        <v>0</v>
      </c>
      <c r="Z572" s="35" t="n">
        <v>0</v>
      </c>
      <c r="AA572" s="35" t="n">
        <v>0</v>
      </c>
      <c r="AB572" s="35" t="n">
        <v>0</v>
      </c>
      <c r="AC572" s="33" t="s">
        <v>673</v>
      </c>
      <c r="AD572" s="36" t="n">
        <f aca="false">B572-B571</f>
        <v>0.125</v>
      </c>
    </row>
    <row r="573" customFormat="false" ht="15" hidden="false" customHeight="false" outlineLevel="0" collapsed="false">
      <c r="A573" s="30" t="n">
        <v>570</v>
      </c>
      <c r="B573" s="31" t="n">
        <f aca="false">Summary!$B$5+IF(D573=1,0,IF(C573=1,Summary!$B$6,NA()))+(MATCH(1,E573:L573,0)-1)*Summary!$B$7+(MATCH(1,M573:T573,0)-1)*Summary!$B$8+(MATCH(1,U573:AB573,0)-1)*Summary!$B$9</f>
        <v>101.25</v>
      </c>
      <c r="C573" s="32" t="n">
        <v>1</v>
      </c>
      <c r="D573" s="32" t="n">
        <v>0</v>
      </c>
      <c r="E573" s="32" t="n">
        <v>0</v>
      </c>
      <c r="F573" s="32" t="n">
        <v>0</v>
      </c>
      <c r="G573" s="32" t="n">
        <v>0</v>
      </c>
      <c r="H573" s="32" t="n">
        <v>0</v>
      </c>
      <c r="I573" s="32" t="n">
        <v>1</v>
      </c>
      <c r="J573" s="32" t="n">
        <v>0</v>
      </c>
      <c r="K573" s="32" t="n">
        <v>0</v>
      </c>
      <c r="L573" s="32" t="n">
        <v>0</v>
      </c>
      <c r="M573" s="32" t="n">
        <v>0</v>
      </c>
      <c r="N573" s="32" t="n">
        <v>0</v>
      </c>
      <c r="O573" s="32" t="n">
        <v>0</v>
      </c>
      <c r="P573" s="32" t="n">
        <v>0</v>
      </c>
      <c r="Q573" s="32" t="n">
        <v>0</v>
      </c>
      <c r="R573" s="32" t="n">
        <v>0</v>
      </c>
      <c r="S573" s="32" t="n">
        <v>0</v>
      </c>
      <c r="T573" s="32" t="n">
        <v>1</v>
      </c>
      <c r="U573" s="32" t="n">
        <v>0</v>
      </c>
      <c r="V573" s="32" t="n">
        <v>0</v>
      </c>
      <c r="W573" s="32" t="n">
        <v>1</v>
      </c>
      <c r="X573" s="32" t="n">
        <v>0</v>
      </c>
      <c r="Y573" s="32" t="n">
        <v>0</v>
      </c>
      <c r="Z573" s="32" t="n">
        <v>0</v>
      </c>
      <c r="AA573" s="32" t="n">
        <v>0</v>
      </c>
      <c r="AB573" s="32" t="n">
        <v>0</v>
      </c>
      <c r="AC573" s="30" t="s">
        <v>674</v>
      </c>
      <c r="AD573" s="37" t="n">
        <f aca="false">B573-B572</f>
        <v>0.125</v>
      </c>
    </row>
    <row r="574" customFormat="false" ht="15" hidden="false" customHeight="false" outlineLevel="0" collapsed="false">
      <c r="A574" s="33" t="n">
        <v>571</v>
      </c>
      <c r="B574" s="34" t="n">
        <f aca="false">Summary!$B$5+IF(D574=1,0,IF(C574=1,Summary!$B$6,NA()))+(MATCH(1,E574:L574,0)-1)*Summary!$B$7+(MATCH(1,M574:T574,0)-1)*Summary!$B$8+(MATCH(1,U574:AB574,0)-1)*Summary!$B$9</f>
        <v>101.375</v>
      </c>
      <c r="C574" s="35" t="n">
        <v>1</v>
      </c>
      <c r="D574" s="35" t="n">
        <v>0</v>
      </c>
      <c r="E574" s="35" t="n">
        <v>0</v>
      </c>
      <c r="F574" s="35" t="n">
        <v>0</v>
      </c>
      <c r="G574" s="35" t="n">
        <v>0</v>
      </c>
      <c r="H574" s="35" t="n">
        <v>0</v>
      </c>
      <c r="I574" s="35" t="n">
        <v>1</v>
      </c>
      <c r="J574" s="35" t="n">
        <v>0</v>
      </c>
      <c r="K574" s="35" t="n">
        <v>0</v>
      </c>
      <c r="L574" s="35" t="n">
        <v>0</v>
      </c>
      <c r="M574" s="35" t="n">
        <v>0</v>
      </c>
      <c r="N574" s="35" t="n">
        <v>0</v>
      </c>
      <c r="O574" s="35" t="n">
        <v>0</v>
      </c>
      <c r="P574" s="35" t="n">
        <v>0</v>
      </c>
      <c r="Q574" s="35" t="n">
        <v>0</v>
      </c>
      <c r="R574" s="35" t="n">
        <v>0</v>
      </c>
      <c r="S574" s="35" t="n">
        <v>0</v>
      </c>
      <c r="T574" s="35" t="n">
        <v>1</v>
      </c>
      <c r="U574" s="35" t="n">
        <v>0</v>
      </c>
      <c r="V574" s="35" t="n">
        <v>0</v>
      </c>
      <c r="W574" s="35" t="n">
        <v>0</v>
      </c>
      <c r="X574" s="35" t="n">
        <v>1</v>
      </c>
      <c r="Y574" s="35" t="n">
        <v>0</v>
      </c>
      <c r="Z574" s="35" t="n">
        <v>0</v>
      </c>
      <c r="AA574" s="35" t="n">
        <v>0</v>
      </c>
      <c r="AB574" s="35" t="n">
        <v>0</v>
      </c>
      <c r="AC574" s="33" t="s">
        <v>675</v>
      </c>
      <c r="AD574" s="36" t="n">
        <f aca="false">B574-B573</f>
        <v>0.125</v>
      </c>
    </row>
    <row r="575" customFormat="false" ht="15" hidden="false" customHeight="false" outlineLevel="0" collapsed="false">
      <c r="A575" s="30" t="n">
        <v>572</v>
      </c>
      <c r="B575" s="31" t="n">
        <f aca="false">Summary!$B$5+IF(D575=1,0,IF(C575=1,Summary!$B$6,NA()))+(MATCH(1,E575:L575,0)-1)*Summary!$B$7+(MATCH(1,M575:T575,0)-1)*Summary!$B$8+(MATCH(1,U575:AB575,0)-1)*Summary!$B$9</f>
        <v>101.5</v>
      </c>
      <c r="C575" s="32" t="n">
        <v>1</v>
      </c>
      <c r="D575" s="32" t="n">
        <v>0</v>
      </c>
      <c r="E575" s="32" t="n">
        <v>0</v>
      </c>
      <c r="F575" s="32" t="n">
        <v>0</v>
      </c>
      <c r="G575" s="32" t="n">
        <v>0</v>
      </c>
      <c r="H575" s="32" t="n">
        <v>0</v>
      </c>
      <c r="I575" s="32" t="n">
        <v>1</v>
      </c>
      <c r="J575" s="32" t="n">
        <v>0</v>
      </c>
      <c r="K575" s="32" t="n">
        <v>0</v>
      </c>
      <c r="L575" s="32" t="n">
        <v>0</v>
      </c>
      <c r="M575" s="32" t="n">
        <v>0</v>
      </c>
      <c r="N575" s="32" t="n">
        <v>0</v>
      </c>
      <c r="O575" s="32" t="n">
        <v>0</v>
      </c>
      <c r="P575" s="32" t="n">
        <v>0</v>
      </c>
      <c r="Q575" s="32" t="n">
        <v>0</v>
      </c>
      <c r="R575" s="32" t="n">
        <v>0</v>
      </c>
      <c r="S575" s="32" t="n">
        <v>0</v>
      </c>
      <c r="T575" s="32" t="n">
        <v>1</v>
      </c>
      <c r="U575" s="32" t="n">
        <v>0</v>
      </c>
      <c r="V575" s="32" t="n">
        <v>0</v>
      </c>
      <c r="W575" s="32" t="n">
        <v>0</v>
      </c>
      <c r="X575" s="32" t="n">
        <v>0</v>
      </c>
      <c r="Y575" s="32" t="n">
        <v>1</v>
      </c>
      <c r="Z575" s="32" t="n">
        <v>0</v>
      </c>
      <c r="AA575" s="32" t="n">
        <v>0</v>
      </c>
      <c r="AB575" s="32" t="n">
        <v>0</v>
      </c>
      <c r="AC575" s="30" t="s">
        <v>676</v>
      </c>
      <c r="AD575" s="37" t="n">
        <f aca="false">B575-B574</f>
        <v>0.125</v>
      </c>
    </row>
    <row r="576" customFormat="false" ht="15" hidden="false" customHeight="false" outlineLevel="0" collapsed="false">
      <c r="A576" s="33" t="n">
        <v>573</v>
      </c>
      <c r="B576" s="34" t="n">
        <f aca="false">Summary!$B$5+IF(D576=1,0,IF(C576=1,Summary!$B$6,NA()))+(MATCH(1,E576:L576,0)-1)*Summary!$B$7+(MATCH(1,M576:T576,0)-1)*Summary!$B$8+(MATCH(1,U576:AB576,0)-1)*Summary!$B$9</f>
        <v>101.625</v>
      </c>
      <c r="C576" s="35" t="n">
        <v>1</v>
      </c>
      <c r="D576" s="35" t="n">
        <v>0</v>
      </c>
      <c r="E576" s="35" t="n">
        <v>0</v>
      </c>
      <c r="F576" s="35" t="n">
        <v>0</v>
      </c>
      <c r="G576" s="35" t="n">
        <v>0</v>
      </c>
      <c r="H576" s="35" t="n">
        <v>0</v>
      </c>
      <c r="I576" s="35" t="n">
        <v>1</v>
      </c>
      <c r="J576" s="35" t="n">
        <v>0</v>
      </c>
      <c r="K576" s="35" t="n">
        <v>0</v>
      </c>
      <c r="L576" s="35" t="n">
        <v>0</v>
      </c>
      <c r="M576" s="35" t="n">
        <v>0</v>
      </c>
      <c r="N576" s="35" t="n">
        <v>0</v>
      </c>
      <c r="O576" s="35" t="n">
        <v>0</v>
      </c>
      <c r="P576" s="35" t="n">
        <v>0</v>
      </c>
      <c r="Q576" s="35" t="n">
        <v>0</v>
      </c>
      <c r="R576" s="35" t="n">
        <v>0</v>
      </c>
      <c r="S576" s="35" t="n">
        <v>0</v>
      </c>
      <c r="T576" s="35" t="n">
        <v>1</v>
      </c>
      <c r="U576" s="35" t="n">
        <v>0</v>
      </c>
      <c r="V576" s="35" t="n">
        <v>0</v>
      </c>
      <c r="W576" s="35" t="n">
        <v>0</v>
      </c>
      <c r="X576" s="35" t="n">
        <v>0</v>
      </c>
      <c r="Y576" s="35" t="n">
        <v>0</v>
      </c>
      <c r="Z576" s="35" t="n">
        <v>1</v>
      </c>
      <c r="AA576" s="35" t="n">
        <v>0</v>
      </c>
      <c r="AB576" s="35" t="n">
        <v>0</v>
      </c>
      <c r="AC576" s="33" t="s">
        <v>677</v>
      </c>
      <c r="AD576" s="36" t="n">
        <f aca="false">B576-B575</f>
        <v>0.125</v>
      </c>
    </row>
    <row r="577" customFormat="false" ht="15" hidden="false" customHeight="false" outlineLevel="0" collapsed="false">
      <c r="A577" s="30" t="n">
        <v>574</v>
      </c>
      <c r="B577" s="31" t="n">
        <f aca="false">Summary!$B$5+IF(D577=1,0,IF(C577=1,Summary!$B$6,NA()))+(MATCH(1,E577:L577,0)-1)*Summary!$B$7+(MATCH(1,M577:T577,0)-1)*Summary!$B$8+(MATCH(1,U577:AB577,0)-1)*Summary!$B$9</f>
        <v>101.75</v>
      </c>
      <c r="C577" s="32" t="n">
        <v>1</v>
      </c>
      <c r="D577" s="32" t="n">
        <v>0</v>
      </c>
      <c r="E577" s="32" t="n">
        <v>0</v>
      </c>
      <c r="F577" s="32" t="n">
        <v>0</v>
      </c>
      <c r="G577" s="32" t="n">
        <v>0</v>
      </c>
      <c r="H577" s="32" t="n">
        <v>0</v>
      </c>
      <c r="I577" s="32" t="n">
        <v>1</v>
      </c>
      <c r="J577" s="32" t="n">
        <v>0</v>
      </c>
      <c r="K577" s="32" t="n">
        <v>0</v>
      </c>
      <c r="L577" s="32" t="n">
        <v>0</v>
      </c>
      <c r="M577" s="32" t="n">
        <v>0</v>
      </c>
      <c r="N577" s="32" t="n">
        <v>0</v>
      </c>
      <c r="O577" s="32" t="n">
        <v>0</v>
      </c>
      <c r="P577" s="32" t="n">
        <v>0</v>
      </c>
      <c r="Q577" s="32" t="n">
        <v>0</v>
      </c>
      <c r="R577" s="32" t="n">
        <v>0</v>
      </c>
      <c r="S577" s="32" t="n">
        <v>0</v>
      </c>
      <c r="T577" s="32" t="n">
        <v>1</v>
      </c>
      <c r="U577" s="32" t="n">
        <v>0</v>
      </c>
      <c r="V577" s="32" t="n">
        <v>0</v>
      </c>
      <c r="W577" s="32" t="n">
        <v>0</v>
      </c>
      <c r="X577" s="32" t="n">
        <v>0</v>
      </c>
      <c r="Y577" s="32" t="n">
        <v>0</v>
      </c>
      <c r="Z577" s="32" t="n">
        <v>0</v>
      </c>
      <c r="AA577" s="32" t="n">
        <v>1</v>
      </c>
      <c r="AB577" s="32" t="n">
        <v>0</v>
      </c>
      <c r="AC577" s="30" t="s">
        <v>678</v>
      </c>
      <c r="AD577" s="37" t="n">
        <f aca="false">B577-B576</f>
        <v>0.125</v>
      </c>
    </row>
    <row r="578" customFormat="false" ht="15" hidden="false" customHeight="false" outlineLevel="0" collapsed="false">
      <c r="A578" s="33" t="n">
        <v>575</v>
      </c>
      <c r="B578" s="34" t="n">
        <f aca="false">Summary!$B$5+IF(D578=1,0,IF(C578=1,Summary!$B$6,NA()))+(MATCH(1,E578:L578,0)-1)*Summary!$B$7+(MATCH(1,M578:T578,0)-1)*Summary!$B$8+(MATCH(1,U578:AB578,0)-1)*Summary!$B$9</f>
        <v>101.875</v>
      </c>
      <c r="C578" s="35" t="n">
        <v>1</v>
      </c>
      <c r="D578" s="35" t="n">
        <v>0</v>
      </c>
      <c r="E578" s="35" t="n">
        <v>0</v>
      </c>
      <c r="F578" s="35" t="n">
        <v>0</v>
      </c>
      <c r="G578" s="35" t="n">
        <v>0</v>
      </c>
      <c r="H578" s="35" t="n">
        <v>0</v>
      </c>
      <c r="I578" s="35" t="n">
        <v>1</v>
      </c>
      <c r="J578" s="35" t="n">
        <v>0</v>
      </c>
      <c r="K578" s="35" t="n">
        <v>0</v>
      </c>
      <c r="L578" s="35" t="n">
        <v>0</v>
      </c>
      <c r="M578" s="35" t="n">
        <v>0</v>
      </c>
      <c r="N578" s="35" t="n">
        <v>0</v>
      </c>
      <c r="O578" s="35" t="n">
        <v>0</v>
      </c>
      <c r="P578" s="35" t="n">
        <v>0</v>
      </c>
      <c r="Q578" s="35" t="n">
        <v>0</v>
      </c>
      <c r="R578" s="35" t="n">
        <v>0</v>
      </c>
      <c r="S578" s="35" t="n">
        <v>0</v>
      </c>
      <c r="T578" s="35" t="n">
        <v>1</v>
      </c>
      <c r="U578" s="35" t="n">
        <v>0</v>
      </c>
      <c r="V578" s="35" t="n">
        <v>0</v>
      </c>
      <c r="W578" s="35" t="n">
        <v>0</v>
      </c>
      <c r="X578" s="35" t="n">
        <v>0</v>
      </c>
      <c r="Y578" s="35" t="n">
        <v>0</v>
      </c>
      <c r="Z578" s="35" t="n">
        <v>0</v>
      </c>
      <c r="AA578" s="35" t="n">
        <v>0</v>
      </c>
      <c r="AB578" s="35" t="n">
        <v>1</v>
      </c>
      <c r="AC578" s="33" t="s">
        <v>679</v>
      </c>
      <c r="AD578" s="36" t="n">
        <f aca="false">B578-B577</f>
        <v>0.125</v>
      </c>
    </row>
    <row r="579" customFormat="false" ht="15" hidden="false" customHeight="false" outlineLevel="0" collapsed="false">
      <c r="A579" s="30" t="n">
        <v>576</v>
      </c>
      <c r="B579" s="31" t="n">
        <f aca="false">Summary!$B$5+IF(D579=1,0,IF(C579=1,Summary!$B$6,NA()))+(MATCH(1,E579:L579,0)-1)*Summary!$B$7+(MATCH(1,M579:T579,0)-1)*Summary!$B$8+(MATCH(1,U579:AB579,0)-1)*Summary!$B$9</f>
        <v>102</v>
      </c>
      <c r="C579" s="32" t="n">
        <v>1</v>
      </c>
      <c r="D579" s="32" t="n">
        <v>0</v>
      </c>
      <c r="E579" s="32" t="n">
        <v>0</v>
      </c>
      <c r="F579" s="32" t="n">
        <v>0</v>
      </c>
      <c r="G579" s="32" t="n">
        <v>0</v>
      </c>
      <c r="H579" s="32" t="n">
        <v>0</v>
      </c>
      <c r="I579" s="32" t="n">
        <v>0</v>
      </c>
      <c r="J579" s="32" t="n">
        <v>1</v>
      </c>
      <c r="K579" s="32" t="n">
        <v>0</v>
      </c>
      <c r="L579" s="32" t="n">
        <v>0</v>
      </c>
      <c r="M579" s="32" t="n">
        <v>1</v>
      </c>
      <c r="N579" s="32" t="n">
        <v>0</v>
      </c>
      <c r="O579" s="32" t="n">
        <v>0</v>
      </c>
      <c r="P579" s="32" t="n">
        <v>0</v>
      </c>
      <c r="Q579" s="32" t="n">
        <v>0</v>
      </c>
      <c r="R579" s="32" t="n">
        <v>0</v>
      </c>
      <c r="S579" s="32" t="n">
        <v>0</v>
      </c>
      <c r="T579" s="32" t="n">
        <v>0</v>
      </c>
      <c r="U579" s="32" t="n">
        <v>1</v>
      </c>
      <c r="V579" s="32" t="n">
        <v>0</v>
      </c>
      <c r="W579" s="32" t="n">
        <v>0</v>
      </c>
      <c r="X579" s="32" t="n">
        <v>0</v>
      </c>
      <c r="Y579" s="32" t="n">
        <v>0</v>
      </c>
      <c r="Z579" s="32" t="n">
        <v>0</v>
      </c>
      <c r="AA579" s="32" t="n">
        <v>0</v>
      </c>
      <c r="AB579" s="32" t="n">
        <v>0</v>
      </c>
      <c r="AC579" s="30" t="s">
        <v>680</v>
      </c>
      <c r="AD579" s="37" t="n">
        <f aca="false">B579-B578</f>
        <v>0.125</v>
      </c>
    </row>
    <row r="580" customFormat="false" ht="15" hidden="false" customHeight="false" outlineLevel="0" collapsed="false">
      <c r="A580" s="33" t="n">
        <v>577</v>
      </c>
      <c r="B580" s="34" t="n">
        <f aca="false">Summary!$B$5+IF(D580=1,0,IF(C580=1,Summary!$B$6,NA()))+(MATCH(1,E580:L580,0)-1)*Summary!$B$7+(MATCH(1,M580:T580,0)-1)*Summary!$B$8+(MATCH(1,U580:AB580,0)-1)*Summary!$B$9</f>
        <v>102.125</v>
      </c>
      <c r="C580" s="35" t="n">
        <v>1</v>
      </c>
      <c r="D580" s="35" t="n">
        <v>0</v>
      </c>
      <c r="E580" s="35" t="n">
        <v>0</v>
      </c>
      <c r="F580" s="35" t="n">
        <v>0</v>
      </c>
      <c r="G580" s="35" t="n">
        <v>0</v>
      </c>
      <c r="H580" s="35" t="n">
        <v>0</v>
      </c>
      <c r="I580" s="35" t="n">
        <v>0</v>
      </c>
      <c r="J580" s="35" t="n">
        <v>1</v>
      </c>
      <c r="K580" s="35" t="n">
        <v>0</v>
      </c>
      <c r="L580" s="35" t="n">
        <v>0</v>
      </c>
      <c r="M580" s="35" t="n">
        <v>1</v>
      </c>
      <c r="N580" s="35" t="n">
        <v>0</v>
      </c>
      <c r="O580" s="35" t="n">
        <v>0</v>
      </c>
      <c r="P580" s="35" t="n">
        <v>0</v>
      </c>
      <c r="Q580" s="35" t="n">
        <v>0</v>
      </c>
      <c r="R580" s="35" t="n">
        <v>0</v>
      </c>
      <c r="S580" s="35" t="n">
        <v>0</v>
      </c>
      <c r="T580" s="35" t="n">
        <v>0</v>
      </c>
      <c r="U580" s="35" t="n">
        <v>0</v>
      </c>
      <c r="V580" s="35" t="n">
        <v>1</v>
      </c>
      <c r="W580" s="35" t="n">
        <v>0</v>
      </c>
      <c r="X580" s="35" t="n">
        <v>0</v>
      </c>
      <c r="Y580" s="35" t="n">
        <v>0</v>
      </c>
      <c r="Z580" s="35" t="n">
        <v>0</v>
      </c>
      <c r="AA580" s="35" t="n">
        <v>0</v>
      </c>
      <c r="AB580" s="35" t="n">
        <v>0</v>
      </c>
      <c r="AC580" s="33" t="s">
        <v>681</v>
      </c>
      <c r="AD580" s="36" t="n">
        <f aca="false">B580-B579</f>
        <v>0.125</v>
      </c>
    </row>
    <row r="581" customFormat="false" ht="15" hidden="false" customHeight="false" outlineLevel="0" collapsed="false">
      <c r="A581" s="30" t="n">
        <v>578</v>
      </c>
      <c r="B581" s="31" t="n">
        <f aca="false">Summary!$B$5+IF(D581=1,0,IF(C581=1,Summary!$B$6,NA()))+(MATCH(1,E581:L581,0)-1)*Summary!$B$7+(MATCH(1,M581:T581,0)-1)*Summary!$B$8+(MATCH(1,U581:AB581,0)-1)*Summary!$B$9</f>
        <v>102.25</v>
      </c>
      <c r="C581" s="32" t="n">
        <v>1</v>
      </c>
      <c r="D581" s="32" t="n">
        <v>0</v>
      </c>
      <c r="E581" s="32" t="n">
        <v>0</v>
      </c>
      <c r="F581" s="32" t="n">
        <v>0</v>
      </c>
      <c r="G581" s="32" t="n">
        <v>0</v>
      </c>
      <c r="H581" s="32" t="n">
        <v>0</v>
      </c>
      <c r="I581" s="32" t="n">
        <v>0</v>
      </c>
      <c r="J581" s="32" t="n">
        <v>1</v>
      </c>
      <c r="K581" s="32" t="n">
        <v>0</v>
      </c>
      <c r="L581" s="32" t="n">
        <v>0</v>
      </c>
      <c r="M581" s="32" t="n">
        <v>1</v>
      </c>
      <c r="N581" s="32" t="n">
        <v>0</v>
      </c>
      <c r="O581" s="32" t="n">
        <v>0</v>
      </c>
      <c r="P581" s="32" t="n">
        <v>0</v>
      </c>
      <c r="Q581" s="32" t="n">
        <v>0</v>
      </c>
      <c r="R581" s="32" t="n">
        <v>0</v>
      </c>
      <c r="S581" s="32" t="n">
        <v>0</v>
      </c>
      <c r="T581" s="32" t="n">
        <v>0</v>
      </c>
      <c r="U581" s="32" t="n">
        <v>0</v>
      </c>
      <c r="V581" s="32" t="n">
        <v>0</v>
      </c>
      <c r="W581" s="32" t="n">
        <v>1</v>
      </c>
      <c r="X581" s="32" t="n">
        <v>0</v>
      </c>
      <c r="Y581" s="32" t="n">
        <v>0</v>
      </c>
      <c r="Z581" s="32" t="n">
        <v>0</v>
      </c>
      <c r="AA581" s="32" t="n">
        <v>0</v>
      </c>
      <c r="AB581" s="32" t="n">
        <v>0</v>
      </c>
      <c r="AC581" s="30" t="s">
        <v>682</v>
      </c>
      <c r="AD581" s="37" t="n">
        <f aca="false">B581-B580</f>
        <v>0.125</v>
      </c>
    </row>
    <row r="582" customFormat="false" ht="15" hidden="false" customHeight="false" outlineLevel="0" collapsed="false">
      <c r="A582" s="33" t="n">
        <v>579</v>
      </c>
      <c r="B582" s="34" t="n">
        <f aca="false">Summary!$B$5+IF(D582=1,0,IF(C582=1,Summary!$B$6,NA()))+(MATCH(1,E582:L582,0)-1)*Summary!$B$7+(MATCH(1,M582:T582,0)-1)*Summary!$B$8+(MATCH(1,U582:AB582,0)-1)*Summary!$B$9</f>
        <v>102.375</v>
      </c>
      <c r="C582" s="35" t="n">
        <v>1</v>
      </c>
      <c r="D582" s="35" t="n">
        <v>0</v>
      </c>
      <c r="E582" s="35" t="n">
        <v>0</v>
      </c>
      <c r="F582" s="35" t="n">
        <v>0</v>
      </c>
      <c r="G582" s="35" t="n">
        <v>0</v>
      </c>
      <c r="H582" s="35" t="n">
        <v>0</v>
      </c>
      <c r="I582" s="35" t="n">
        <v>0</v>
      </c>
      <c r="J582" s="35" t="n">
        <v>1</v>
      </c>
      <c r="K582" s="35" t="n">
        <v>0</v>
      </c>
      <c r="L582" s="35" t="n">
        <v>0</v>
      </c>
      <c r="M582" s="35" t="n">
        <v>1</v>
      </c>
      <c r="N582" s="35" t="n">
        <v>0</v>
      </c>
      <c r="O582" s="35" t="n">
        <v>0</v>
      </c>
      <c r="P582" s="35" t="n">
        <v>0</v>
      </c>
      <c r="Q582" s="35" t="n">
        <v>0</v>
      </c>
      <c r="R582" s="35" t="n">
        <v>0</v>
      </c>
      <c r="S582" s="35" t="n">
        <v>0</v>
      </c>
      <c r="T582" s="35" t="n">
        <v>0</v>
      </c>
      <c r="U582" s="35" t="n">
        <v>0</v>
      </c>
      <c r="V582" s="35" t="n">
        <v>0</v>
      </c>
      <c r="W582" s="35" t="n">
        <v>0</v>
      </c>
      <c r="X582" s="35" t="n">
        <v>1</v>
      </c>
      <c r="Y582" s="35" t="n">
        <v>0</v>
      </c>
      <c r="Z582" s="35" t="n">
        <v>0</v>
      </c>
      <c r="AA582" s="35" t="n">
        <v>0</v>
      </c>
      <c r="AB582" s="35" t="n">
        <v>0</v>
      </c>
      <c r="AC582" s="33" t="s">
        <v>683</v>
      </c>
      <c r="AD582" s="36" t="n">
        <f aca="false">B582-B581</f>
        <v>0.125</v>
      </c>
    </row>
    <row r="583" customFormat="false" ht="15" hidden="false" customHeight="false" outlineLevel="0" collapsed="false">
      <c r="A583" s="30" t="n">
        <v>580</v>
      </c>
      <c r="B583" s="31" t="n">
        <f aca="false">Summary!$B$5+IF(D583=1,0,IF(C583=1,Summary!$B$6,NA()))+(MATCH(1,E583:L583,0)-1)*Summary!$B$7+(MATCH(1,M583:T583,0)-1)*Summary!$B$8+(MATCH(1,U583:AB583,0)-1)*Summary!$B$9</f>
        <v>102.5</v>
      </c>
      <c r="C583" s="32" t="n">
        <v>1</v>
      </c>
      <c r="D583" s="32" t="n">
        <v>0</v>
      </c>
      <c r="E583" s="32" t="n">
        <v>0</v>
      </c>
      <c r="F583" s="32" t="n">
        <v>0</v>
      </c>
      <c r="G583" s="32" t="n">
        <v>0</v>
      </c>
      <c r="H583" s="32" t="n">
        <v>0</v>
      </c>
      <c r="I583" s="32" t="n">
        <v>0</v>
      </c>
      <c r="J583" s="32" t="n">
        <v>1</v>
      </c>
      <c r="K583" s="32" t="n">
        <v>0</v>
      </c>
      <c r="L583" s="32" t="n">
        <v>0</v>
      </c>
      <c r="M583" s="32" t="n">
        <v>1</v>
      </c>
      <c r="N583" s="32" t="n">
        <v>0</v>
      </c>
      <c r="O583" s="32" t="n">
        <v>0</v>
      </c>
      <c r="P583" s="32" t="n">
        <v>0</v>
      </c>
      <c r="Q583" s="32" t="n">
        <v>0</v>
      </c>
      <c r="R583" s="32" t="n">
        <v>0</v>
      </c>
      <c r="S583" s="32" t="n">
        <v>0</v>
      </c>
      <c r="T583" s="32" t="n">
        <v>0</v>
      </c>
      <c r="U583" s="32" t="n">
        <v>0</v>
      </c>
      <c r="V583" s="32" t="n">
        <v>0</v>
      </c>
      <c r="W583" s="32" t="n">
        <v>0</v>
      </c>
      <c r="X583" s="32" t="n">
        <v>0</v>
      </c>
      <c r="Y583" s="32" t="n">
        <v>1</v>
      </c>
      <c r="Z583" s="32" t="n">
        <v>0</v>
      </c>
      <c r="AA583" s="32" t="n">
        <v>0</v>
      </c>
      <c r="AB583" s="32" t="n">
        <v>0</v>
      </c>
      <c r="AC583" s="30" t="s">
        <v>684</v>
      </c>
      <c r="AD583" s="37" t="n">
        <f aca="false">B583-B582</f>
        <v>0.125</v>
      </c>
    </row>
    <row r="584" customFormat="false" ht="15" hidden="false" customHeight="false" outlineLevel="0" collapsed="false">
      <c r="A584" s="33" t="n">
        <v>581</v>
      </c>
      <c r="B584" s="34" t="n">
        <f aca="false">Summary!$B$5+IF(D584=1,0,IF(C584=1,Summary!$B$6,NA()))+(MATCH(1,E584:L584,0)-1)*Summary!$B$7+(MATCH(1,M584:T584,0)-1)*Summary!$B$8+(MATCH(1,U584:AB584,0)-1)*Summary!$B$9</f>
        <v>102.625</v>
      </c>
      <c r="C584" s="35" t="n">
        <v>1</v>
      </c>
      <c r="D584" s="35" t="n">
        <v>0</v>
      </c>
      <c r="E584" s="35" t="n">
        <v>0</v>
      </c>
      <c r="F584" s="35" t="n">
        <v>0</v>
      </c>
      <c r="G584" s="35" t="n">
        <v>0</v>
      </c>
      <c r="H584" s="35" t="n">
        <v>0</v>
      </c>
      <c r="I584" s="35" t="n">
        <v>0</v>
      </c>
      <c r="J584" s="35" t="n">
        <v>1</v>
      </c>
      <c r="K584" s="35" t="n">
        <v>0</v>
      </c>
      <c r="L584" s="35" t="n">
        <v>0</v>
      </c>
      <c r="M584" s="35" t="n">
        <v>1</v>
      </c>
      <c r="N584" s="35" t="n">
        <v>0</v>
      </c>
      <c r="O584" s="35" t="n">
        <v>0</v>
      </c>
      <c r="P584" s="35" t="n">
        <v>0</v>
      </c>
      <c r="Q584" s="35" t="n">
        <v>0</v>
      </c>
      <c r="R584" s="35" t="n">
        <v>0</v>
      </c>
      <c r="S584" s="35" t="n">
        <v>0</v>
      </c>
      <c r="T584" s="35" t="n">
        <v>0</v>
      </c>
      <c r="U584" s="35" t="n">
        <v>0</v>
      </c>
      <c r="V584" s="35" t="n">
        <v>0</v>
      </c>
      <c r="W584" s="35" t="n">
        <v>0</v>
      </c>
      <c r="X584" s="35" t="n">
        <v>0</v>
      </c>
      <c r="Y584" s="35" t="n">
        <v>0</v>
      </c>
      <c r="Z584" s="35" t="n">
        <v>1</v>
      </c>
      <c r="AA584" s="35" t="n">
        <v>0</v>
      </c>
      <c r="AB584" s="35" t="n">
        <v>0</v>
      </c>
      <c r="AC584" s="33" t="s">
        <v>685</v>
      </c>
      <c r="AD584" s="36" t="n">
        <f aca="false">B584-B583</f>
        <v>0.125</v>
      </c>
    </row>
    <row r="585" customFormat="false" ht="15" hidden="false" customHeight="false" outlineLevel="0" collapsed="false">
      <c r="A585" s="30" t="n">
        <v>582</v>
      </c>
      <c r="B585" s="31" t="n">
        <f aca="false">Summary!$B$5+IF(D585=1,0,IF(C585=1,Summary!$B$6,NA()))+(MATCH(1,E585:L585,0)-1)*Summary!$B$7+(MATCH(1,M585:T585,0)-1)*Summary!$B$8+(MATCH(1,U585:AB585,0)-1)*Summary!$B$9</f>
        <v>102.75</v>
      </c>
      <c r="C585" s="32" t="n">
        <v>1</v>
      </c>
      <c r="D585" s="32" t="n">
        <v>0</v>
      </c>
      <c r="E585" s="32" t="n">
        <v>0</v>
      </c>
      <c r="F585" s="32" t="n">
        <v>0</v>
      </c>
      <c r="G585" s="32" t="n">
        <v>0</v>
      </c>
      <c r="H585" s="32" t="n">
        <v>0</v>
      </c>
      <c r="I585" s="32" t="n">
        <v>0</v>
      </c>
      <c r="J585" s="32" t="n">
        <v>1</v>
      </c>
      <c r="K585" s="32" t="n">
        <v>0</v>
      </c>
      <c r="L585" s="32" t="n">
        <v>0</v>
      </c>
      <c r="M585" s="32" t="n">
        <v>1</v>
      </c>
      <c r="N585" s="32" t="n">
        <v>0</v>
      </c>
      <c r="O585" s="32" t="n">
        <v>0</v>
      </c>
      <c r="P585" s="32" t="n">
        <v>0</v>
      </c>
      <c r="Q585" s="32" t="n">
        <v>0</v>
      </c>
      <c r="R585" s="32" t="n">
        <v>0</v>
      </c>
      <c r="S585" s="32" t="n">
        <v>0</v>
      </c>
      <c r="T585" s="32" t="n">
        <v>0</v>
      </c>
      <c r="U585" s="32" t="n">
        <v>0</v>
      </c>
      <c r="V585" s="32" t="n">
        <v>0</v>
      </c>
      <c r="W585" s="32" t="n">
        <v>0</v>
      </c>
      <c r="X585" s="32" t="n">
        <v>0</v>
      </c>
      <c r="Y585" s="32" t="n">
        <v>0</v>
      </c>
      <c r="Z585" s="32" t="n">
        <v>0</v>
      </c>
      <c r="AA585" s="32" t="n">
        <v>1</v>
      </c>
      <c r="AB585" s="32" t="n">
        <v>0</v>
      </c>
      <c r="AC585" s="30" t="s">
        <v>686</v>
      </c>
      <c r="AD585" s="37" t="n">
        <f aca="false">B585-B584</f>
        <v>0.125</v>
      </c>
    </row>
    <row r="586" customFormat="false" ht="15" hidden="false" customHeight="false" outlineLevel="0" collapsed="false">
      <c r="A586" s="33" t="n">
        <v>583</v>
      </c>
      <c r="B586" s="34" t="n">
        <f aca="false">Summary!$B$5+IF(D586=1,0,IF(C586=1,Summary!$B$6,NA()))+(MATCH(1,E586:L586,0)-1)*Summary!$B$7+(MATCH(1,M586:T586,0)-1)*Summary!$B$8+(MATCH(1,U586:AB586,0)-1)*Summary!$B$9</f>
        <v>102.875</v>
      </c>
      <c r="C586" s="35" t="n">
        <v>1</v>
      </c>
      <c r="D586" s="35" t="n">
        <v>0</v>
      </c>
      <c r="E586" s="35" t="n">
        <v>0</v>
      </c>
      <c r="F586" s="35" t="n">
        <v>0</v>
      </c>
      <c r="G586" s="35" t="n">
        <v>0</v>
      </c>
      <c r="H586" s="35" t="n">
        <v>0</v>
      </c>
      <c r="I586" s="35" t="n">
        <v>0</v>
      </c>
      <c r="J586" s="35" t="n">
        <v>1</v>
      </c>
      <c r="K586" s="35" t="n">
        <v>0</v>
      </c>
      <c r="L586" s="35" t="n">
        <v>0</v>
      </c>
      <c r="M586" s="35" t="n">
        <v>1</v>
      </c>
      <c r="N586" s="35" t="n">
        <v>0</v>
      </c>
      <c r="O586" s="35" t="n">
        <v>0</v>
      </c>
      <c r="P586" s="35" t="n">
        <v>0</v>
      </c>
      <c r="Q586" s="35" t="n">
        <v>0</v>
      </c>
      <c r="R586" s="35" t="n">
        <v>0</v>
      </c>
      <c r="S586" s="35" t="n">
        <v>0</v>
      </c>
      <c r="T586" s="35" t="n">
        <v>0</v>
      </c>
      <c r="U586" s="35" t="n">
        <v>0</v>
      </c>
      <c r="V586" s="35" t="n">
        <v>0</v>
      </c>
      <c r="W586" s="35" t="n">
        <v>0</v>
      </c>
      <c r="X586" s="35" t="n">
        <v>0</v>
      </c>
      <c r="Y586" s="35" t="n">
        <v>0</v>
      </c>
      <c r="Z586" s="35" t="n">
        <v>0</v>
      </c>
      <c r="AA586" s="35" t="n">
        <v>0</v>
      </c>
      <c r="AB586" s="35" t="n">
        <v>1</v>
      </c>
      <c r="AC586" s="33" t="s">
        <v>687</v>
      </c>
      <c r="AD586" s="36" t="n">
        <f aca="false">B586-B585</f>
        <v>0.125</v>
      </c>
    </row>
    <row r="587" customFormat="false" ht="15" hidden="false" customHeight="false" outlineLevel="0" collapsed="false">
      <c r="A587" s="30" t="n">
        <v>584</v>
      </c>
      <c r="B587" s="31" t="n">
        <f aca="false">Summary!$B$5+IF(D587=1,0,IF(C587=1,Summary!$B$6,NA()))+(MATCH(1,E587:L587,0)-1)*Summary!$B$7+(MATCH(1,M587:T587,0)-1)*Summary!$B$8+(MATCH(1,U587:AB587,0)-1)*Summary!$B$9</f>
        <v>103</v>
      </c>
      <c r="C587" s="32" t="n">
        <v>1</v>
      </c>
      <c r="D587" s="32" t="n">
        <v>0</v>
      </c>
      <c r="E587" s="32" t="n">
        <v>0</v>
      </c>
      <c r="F587" s="32" t="n">
        <v>0</v>
      </c>
      <c r="G587" s="32" t="n">
        <v>0</v>
      </c>
      <c r="H587" s="32" t="n">
        <v>0</v>
      </c>
      <c r="I587" s="32" t="n">
        <v>0</v>
      </c>
      <c r="J587" s="32" t="n">
        <v>1</v>
      </c>
      <c r="K587" s="32" t="n">
        <v>0</v>
      </c>
      <c r="L587" s="32" t="n">
        <v>0</v>
      </c>
      <c r="M587" s="32" t="n">
        <v>0</v>
      </c>
      <c r="N587" s="32" t="n">
        <v>1</v>
      </c>
      <c r="O587" s="32" t="n">
        <v>0</v>
      </c>
      <c r="P587" s="32" t="n">
        <v>0</v>
      </c>
      <c r="Q587" s="32" t="n">
        <v>0</v>
      </c>
      <c r="R587" s="32" t="n">
        <v>0</v>
      </c>
      <c r="S587" s="32" t="n">
        <v>0</v>
      </c>
      <c r="T587" s="32" t="n">
        <v>0</v>
      </c>
      <c r="U587" s="32" t="n">
        <v>1</v>
      </c>
      <c r="V587" s="32" t="n">
        <v>0</v>
      </c>
      <c r="W587" s="32" t="n">
        <v>0</v>
      </c>
      <c r="X587" s="32" t="n">
        <v>0</v>
      </c>
      <c r="Y587" s="32" t="n">
        <v>0</v>
      </c>
      <c r="Z587" s="32" t="n">
        <v>0</v>
      </c>
      <c r="AA587" s="32" t="n">
        <v>0</v>
      </c>
      <c r="AB587" s="32" t="n">
        <v>0</v>
      </c>
      <c r="AC587" s="30" t="s">
        <v>688</v>
      </c>
      <c r="AD587" s="37" t="n">
        <f aca="false">B587-B586</f>
        <v>0.125</v>
      </c>
    </row>
    <row r="588" customFormat="false" ht="15" hidden="false" customHeight="false" outlineLevel="0" collapsed="false">
      <c r="A588" s="33" t="n">
        <v>585</v>
      </c>
      <c r="B588" s="34" t="n">
        <f aca="false">Summary!$B$5+IF(D588=1,0,IF(C588=1,Summary!$B$6,NA()))+(MATCH(1,E588:L588,0)-1)*Summary!$B$7+(MATCH(1,M588:T588,0)-1)*Summary!$B$8+(MATCH(1,U588:AB588,0)-1)*Summary!$B$9</f>
        <v>103.125</v>
      </c>
      <c r="C588" s="35" t="n">
        <v>1</v>
      </c>
      <c r="D588" s="35" t="n">
        <v>0</v>
      </c>
      <c r="E588" s="35" t="n">
        <v>0</v>
      </c>
      <c r="F588" s="35" t="n">
        <v>0</v>
      </c>
      <c r="G588" s="35" t="n">
        <v>0</v>
      </c>
      <c r="H588" s="35" t="n">
        <v>0</v>
      </c>
      <c r="I588" s="35" t="n">
        <v>0</v>
      </c>
      <c r="J588" s="35" t="n">
        <v>1</v>
      </c>
      <c r="K588" s="35" t="n">
        <v>0</v>
      </c>
      <c r="L588" s="35" t="n">
        <v>0</v>
      </c>
      <c r="M588" s="35" t="n">
        <v>0</v>
      </c>
      <c r="N588" s="35" t="n">
        <v>1</v>
      </c>
      <c r="O588" s="35" t="n">
        <v>0</v>
      </c>
      <c r="P588" s="35" t="n">
        <v>0</v>
      </c>
      <c r="Q588" s="35" t="n">
        <v>0</v>
      </c>
      <c r="R588" s="35" t="n">
        <v>0</v>
      </c>
      <c r="S588" s="35" t="n">
        <v>0</v>
      </c>
      <c r="T588" s="35" t="n">
        <v>0</v>
      </c>
      <c r="U588" s="35" t="n">
        <v>0</v>
      </c>
      <c r="V588" s="35" t="n">
        <v>1</v>
      </c>
      <c r="W588" s="35" t="n">
        <v>0</v>
      </c>
      <c r="X588" s="35" t="n">
        <v>0</v>
      </c>
      <c r="Y588" s="35" t="n">
        <v>0</v>
      </c>
      <c r="Z588" s="35" t="n">
        <v>0</v>
      </c>
      <c r="AA588" s="35" t="n">
        <v>0</v>
      </c>
      <c r="AB588" s="35" t="n">
        <v>0</v>
      </c>
      <c r="AC588" s="33" t="s">
        <v>689</v>
      </c>
      <c r="AD588" s="36" t="n">
        <f aca="false">B588-B587</f>
        <v>0.125</v>
      </c>
    </row>
    <row r="589" customFormat="false" ht="15" hidden="false" customHeight="false" outlineLevel="0" collapsed="false">
      <c r="A589" s="30" t="n">
        <v>586</v>
      </c>
      <c r="B589" s="31" t="n">
        <f aca="false">Summary!$B$5+IF(D589=1,0,IF(C589=1,Summary!$B$6,NA()))+(MATCH(1,E589:L589,0)-1)*Summary!$B$7+(MATCH(1,M589:T589,0)-1)*Summary!$B$8+(MATCH(1,U589:AB589,0)-1)*Summary!$B$9</f>
        <v>103.25</v>
      </c>
      <c r="C589" s="32" t="n">
        <v>1</v>
      </c>
      <c r="D589" s="32" t="n">
        <v>0</v>
      </c>
      <c r="E589" s="32" t="n">
        <v>0</v>
      </c>
      <c r="F589" s="32" t="n">
        <v>0</v>
      </c>
      <c r="G589" s="32" t="n">
        <v>0</v>
      </c>
      <c r="H589" s="32" t="n">
        <v>0</v>
      </c>
      <c r="I589" s="32" t="n">
        <v>0</v>
      </c>
      <c r="J589" s="32" t="n">
        <v>1</v>
      </c>
      <c r="K589" s="32" t="n">
        <v>0</v>
      </c>
      <c r="L589" s="32" t="n">
        <v>0</v>
      </c>
      <c r="M589" s="32" t="n">
        <v>0</v>
      </c>
      <c r="N589" s="32" t="n">
        <v>1</v>
      </c>
      <c r="O589" s="32" t="n">
        <v>0</v>
      </c>
      <c r="P589" s="32" t="n">
        <v>0</v>
      </c>
      <c r="Q589" s="32" t="n">
        <v>0</v>
      </c>
      <c r="R589" s="32" t="n">
        <v>0</v>
      </c>
      <c r="S589" s="32" t="n">
        <v>0</v>
      </c>
      <c r="T589" s="32" t="n">
        <v>0</v>
      </c>
      <c r="U589" s="32" t="n">
        <v>0</v>
      </c>
      <c r="V589" s="32" t="n">
        <v>0</v>
      </c>
      <c r="W589" s="32" t="n">
        <v>1</v>
      </c>
      <c r="X589" s="32" t="n">
        <v>0</v>
      </c>
      <c r="Y589" s="32" t="n">
        <v>0</v>
      </c>
      <c r="Z589" s="32" t="n">
        <v>0</v>
      </c>
      <c r="AA589" s="32" t="n">
        <v>0</v>
      </c>
      <c r="AB589" s="32" t="n">
        <v>0</v>
      </c>
      <c r="AC589" s="30" t="s">
        <v>690</v>
      </c>
      <c r="AD589" s="37" t="n">
        <f aca="false">B589-B588</f>
        <v>0.125</v>
      </c>
    </row>
    <row r="590" customFormat="false" ht="15" hidden="false" customHeight="false" outlineLevel="0" collapsed="false">
      <c r="A590" s="33" t="n">
        <v>587</v>
      </c>
      <c r="B590" s="34" t="n">
        <f aca="false">Summary!$B$5+IF(D590=1,0,IF(C590=1,Summary!$B$6,NA()))+(MATCH(1,E590:L590,0)-1)*Summary!$B$7+(MATCH(1,M590:T590,0)-1)*Summary!$B$8+(MATCH(1,U590:AB590,0)-1)*Summary!$B$9</f>
        <v>103.375</v>
      </c>
      <c r="C590" s="35" t="n">
        <v>1</v>
      </c>
      <c r="D590" s="35" t="n">
        <v>0</v>
      </c>
      <c r="E590" s="35" t="n">
        <v>0</v>
      </c>
      <c r="F590" s="35" t="n">
        <v>0</v>
      </c>
      <c r="G590" s="35" t="n">
        <v>0</v>
      </c>
      <c r="H590" s="35" t="n">
        <v>0</v>
      </c>
      <c r="I590" s="35" t="n">
        <v>0</v>
      </c>
      <c r="J590" s="35" t="n">
        <v>1</v>
      </c>
      <c r="K590" s="35" t="n">
        <v>0</v>
      </c>
      <c r="L590" s="35" t="n">
        <v>0</v>
      </c>
      <c r="M590" s="35" t="n">
        <v>0</v>
      </c>
      <c r="N590" s="35" t="n">
        <v>1</v>
      </c>
      <c r="O590" s="35" t="n">
        <v>0</v>
      </c>
      <c r="P590" s="35" t="n">
        <v>0</v>
      </c>
      <c r="Q590" s="35" t="n">
        <v>0</v>
      </c>
      <c r="R590" s="35" t="n">
        <v>0</v>
      </c>
      <c r="S590" s="35" t="n">
        <v>0</v>
      </c>
      <c r="T590" s="35" t="n">
        <v>0</v>
      </c>
      <c r="U590" s="35" t="n">
        <v>0</v>
      </c>
      <c r="V590" s="35" t="n">
        <v>0</v>
      </c>
      <c r="W590" s="35" t="n">
        <v>0</v>
      </c>
      <c r="X590" s="35" t="n">
        <v>1</v>
      </c>
      <c r="Y590" s="35" t="n">
        <v>0</v>
      </c>
      <c r="Z590" s="35" t="n">
        <v>0</v>
      </c>
      <c r="AA590" s="35" t="n">
        <v>0</v>
      </c>
      <c r="AB590" s="35" t="n">
        <v>0</v>
      </c>
      <c r="AC590" s="33" t="s">
        <v>691</v>
      </c>
      <c r="AD590" s="36" t="n">
        <f aca="false">B590-B589</f>
        <v>0.125</v>
      </c>
    </row>
    <row r="591" customFormat="false" ht="15" hidden="false" customHeight="false" outlineLevel="0" collapsed="false">
      <c r="A591" s="30" t="n">
        <v>588</v>
      </c>
      <c r="B591" s="31" t="n">
        <f aca="false">Summary!$B$5+IF(D591=1,0,IF(C591=1,Summary!$B$6,NA()))+(MATCH(1,E591:L591,0)-1)*Summary!$B$7+(MATCH(1,M591:T591,0)-1)*Summary!$B$8+(MATCH(1,U591:AB591,0)-1)*Summary!$B$9</f>
        <v>103.5</v>
      </c>
      <c r="C591" s="32" t="n">
        <v>1</v>
      </c>
      <c r="D591" s="32" t="n">
        <v>0</v>
      </c>
      <c r="E591" s="32" t="n">
        <v>0</v>
      </c>
      <c r="F591" s="32" t="n">
        <v>0</v>
      </c>
      <c r="G591" s="32" t="n">
        <v>0</v>
      </c>
      <c r="H591" s="32" t="n">
        <v>0</v>
      </c>
      <c r="I591" s="32" t="n">
        <v>0</v>
      </c>
      <c r="J591" s="32" t="n">
        <v>1</v>
      </c>
      <c r="K591" s="32" t="n">
        <v>0</v>
      </c>
      <c r="L591" s="32" t="n">
        <v>0</v>
      </c>
      <c r="M591" s="32" t="n">
        <v>0</v>
      </c>
      <c r="N591" s="32" t="n">
        <v>1</v>
      </c>
      <c r="O591" s="32" t="n">
        <v>0</v>
      </c>
      <c r="P591" s="32" t="n">
        <v>0</v>
      </c>
      <c r="Q591" s="32" t="n">
        <v>0</v>
      </c>
      <c r="R591" s="32" t="n">
        <v>0</v>
      </c>
      <c r="S591" s="32" t="n">
        <v>0</v>
      </c>
      <c r="T591" s="32" t="n">
        <v>0</v>
      </c>
      <c r="U591" s="32" t="n">
        <v>0</v>
      </c>
      <c r="V591" s="32" t="n">
        <v>0</v>
      </c>
      <c r="W591" s="32" t="n">
        <v>0</v>
      </c>
      <c r="X591" s="32" t="n">
        <v>0</v>
      </c>
      <c r="Y591" s="32" t="n">
        <v>1</v>
      </c>
      <c r="Z591" s="32" t="n">
        <v>0</v>
      </c>
      <c r="AA591" s="32" t="n">
        <v>0</v>
      </c>
      <c r="AB591" s="32" t="n">
        <v>0</v>
      </c>
      <c r="AC591" s="30" t="s">
        <v>692</v>
      </c>
      <c r="AD591" s="37" t="n">
        <f aca="false">B591-B590</f>
        <v>0.125</v>
      </c>
    </row>
    <row r="592" customFormat="false" ht="15" hidden="false" customHeight="false" outlineLevel="0" collapsed="false">
      <c r="A592" s="33" t="n">
        <v>589</v>
      </c>
      <c r="B592" s="34" t="n">
        <f aca="false">Summary!$B$5+IF(D592=1,0,IF(C592=1,Summary!$B$6,NA()))+(MATCH(1,E592:L592,0)-1)*Summary!$B$7+(MATCH(1,M592:T592,0)-1)*Summary!$B$8+(MATCH(1,U592:AB592,0)-1)*Summary!$B$9</f>
        <v>103.625</v>
      </c>
      <c r="C592" s="35" t="n">
        <v>1</v>
      </c>
      <c r="D592" s="35" t="n">
        <v>0</v>
      </c>
      <c r="E592" s="35" t="n">
        <v>0</v>
      </c>
      <c r="F592" s="35" t="n">
        <v>0</v>
      </c>
      <c r="G592" s="35" t="n">
        <v>0</v>
      </c>
      <c r="H592" s="35" t="n">
        <v>0</v>
      </c>
      <c r="I592" s="35" t="n">
        <v>0</v>
      </c>
      <c r="J592" s="35" t="n">
        <v>1</v>
      </c>
      <c r="K592" s="35" t="n">
        <v>0</v>
      </c>
      <c r="L592" s="35" t="n">
        <v>0</v>
      </c>
      <c r="M592" s="35" t="n">
        <v>0</v>
      </c>
      <c r="N592" s="35" t="n">
        <v>1</v>
      </c>
      <c r="O592" s="35" t="n">
        <v>0</v>
      </c>
      <c r="P592" s="35" t="n">
        <v>0</v>
      </c>
      <c r="Q592" s="35" t="n">
        <v>0</v>
      </c>
      <c r="R592" s="35" t="n">
        <v>0</v>
      </c>
      <c r="S592" s="35" t="n">
        <v>0</v>
      </c>
      <c r="T592" s="35" t="n">
        <v>0</v>
      </c>
      <c r="U592" s="35" t="n">
        <v>0</v>
      </c>
      <c r="V592" s="35" t="n">
        <v>0</v>
      </c>
      <c r="W592" s="35" t="n">
        <v>0</v>
      </c>
      <c r="X592" s="35" t="n">
        <v>0</v>
      </c>
      <c r="Y592" s="35" t="n">
        <v>0</v>
      </c>
      <c r="Z592" s="35" t="n">
        <v>1</v>
      </c>
      <c r="AA592" s="35" t="n">
        <v>0</v>
      </c>
      <c r="AB592" s="35" t="n">
        <v>0</v>
      </c>
      <c r="AC592" s="33" t="s">
        <v>693</v>
      </c>
      <c r="AD592" s="36" t="n">
        <f aca="false">B592-B591</f>
        <v>0.125</v>
      </c>
    </row>
    <row r="593" customFormat="false" ht="15" hidden="false" customHeight="false" outlineLevel="0" collapsed="false">
      <c r="A593" s="30" t="n">
        <v>590</v>
      </c>
      <c r="B593" s="31" t="n">
        <f aca="false">Summary!$B$5+IF(D593=1,0,IF(C593=1,Summary!$B$6,NA()))+(MATCH(1,E593:L593,0)-1)*Summary!$B$7+(MATCH(1,M593:T593,0)-1)*Summary!$B$8+(MATCH(1,U593:AB593,0)-1)*Summary!$B$9</f>
        <v>103.75</v>
      </c>
      <c r="C593" s="32" t="n">
        <v>1</v>
      </c>
      <c r="D593" s="32" t="n">
        <v>0</v>
      </c>
      <c r="E593" s="32" t="n">
        <v>0</v>
      </c>
      <c r="F593" s="32" t="n">
        <v>0</v>
      </c>
      <c r="G593" s="32" t="n">
        <v>0</v>
      </c>
      <c r="H593" s="32" t="n">
        <v>0</v>
      </c>
      <c r="I593" s="32" t="n">
        <v>0</v>
      </c>
      <c r="J593" s="32" t="n">
        <v>1</v>
      </c>
      <c r="K593" s="32" t="n">
        <v>0</v>
      </c>
      <c r="L593" s="32" t="n">
        <v>0</v>
      </c>
      <c r="M593" s="32" t="n">
        <v>0</v>
      </c>
      <c r="N593" s="32" t="n">
        <v>1</v>
      </c>
      <c r="O593" s="32" t="n">
        <v>0</v>
      </c>
      <c r="P593" s="32" t="n">
        <v>0</v>
      </c>
      <c r="Q593" s="32" t="n">
        <v>0</v>
      </c>
      <c r="R593" s="32" t="n">
        <v>0</v>
      </c>
      <c r="S593" s="32" t="n">
        <v>0</v>
      </c>
      <c r="T593" s="32" t="n">
        <v>0</v>
      </c>
      <c r="U593" s="32" t="n">
        <v>0</v>
      </c>
      <c r="V593" s="32" t="n">
        <v>0</v>
      </c>
      <c r="W593" s="32" t="n">
        <v>0</v>
      </c>
      <c r="X593" s="32" t="n">
        <v>0</v>
      </c>
      <c r="Y593" s="32" t="n">
        <v>0</v>
      </c>
      <c r="Z593" s="32" t="n">
        <v>0</v>
      </c>
      <c r="AA593" s="32" t="n">
        <v>1</v>
      </c>
      <c r="AB593" s="32" t="n">
        <v>0</v>
      </c>
      <c r="AC593" s="30" t="s">
        <v>694</v>
      </c>
      <c r="AD593" s="37" t="n">
        <f aca="false">B593-B592</f>
        <v>0.125</v>
      </c>
    </row>
    <row r="594" customFormat="false" ht="15" hidden="false" customHeight="false" outlineLevel="0" collapsed="false">
      <c r="A594" s="33" t="n">
        <v>591</v>
      </c>
      <c r="B594" s="34" t="n">
        <f aca="false">Summary!$B$5+IF(D594=1,0,IF(C594=1,Summary!$B$6,NA()))+(MATCH(1,E594:L594,0)-1)*Summary!$B$7+(MATCH(1,M594:T594,0)-1)*Summary!$B$8+(MATCH(1,U594:AB594,0)-1)*Summary!$B$9</f>
        <v>103.875</v>
      </c>
      <c r="C594" s="35" t="n">
        <v>1</v>
      </c>
      <c r="D594" s="35" t="n">
        <v>0</v>
      </c>
      <c r="E594" s="35" t="n">
        <v>0</v>
      </c>
      <c r="F594" s="35" t="n">
        <v>0</v>
      </c>
      <c r="G594" s="35" t="n">
        <v>0</v>
      </c>
      <c r="H594" s="35" t="n">
        <v>0</v>
      </c>
      <c r="I594" s="35" t="n">
        <v>0</v>
      </c>
      <c r="J594" s="35" t="n">
        <v>1</v>
      </c>
      <c r="K594" s="35" t="n">
        <v>0</v>
      </c>
      <c r="L594" s="35" t="n">
        <v>0</v>
      </c>
      <c r="M594" s="35" t="n">
        <v>0</v>
      </c>
      <c r="N594" s="35" t="n">
        <v>1</v>
      </c>
      <c r="O594" s="35" t="n">
        <v>0</v>
      </c>
      <c r="P594" s="35" t="n">
        <v>0</v>
      </c>
      <c r="Q594" s="35" t="n">
        <v>0</v>
      </c>
      <c r="R594" s="35" t="n">
        <v>0</v>
      </c>
      <c r="S594" s="35" t="n">
        <v>0</v>
      </c>
      <c r="T594" s="35" t="n">
        <v>0</v>
      </c>
      <c r="U594" s="35" t="n">
        <v>0</v>
      </c>
      <c r="V594" s="35" t="n">
        <v>0</v>
      </c>
      <c r="W594" s="35" t="n">
        <v>0</v>
      </c>
      <c r="X594" s="35" t="n">
        <v>0</v>
      </c>
      <c r="Y594" s="35" t="n">
        <v>0</v>
      </c>
      <c r="Z594" s="35" t="n">
        <v>0</v>
      </c>
      <c r="AA594" s="35" t="n">
        <v>0</v>
      </c>
      <c r="AB594" s="35" t="n">
        <v>1</v>
      </c>
      <c r="AC594" s="33" t="s">
        <v>695</v>
      </c>
      <c r="AD594" s="36" t="n">
        <f aca="false">B594-B593</f>
        <v>0.125</v>
      </c>
    </row>
    <row r="595" customFormat="false" ht="15" hidden="false" customHeight="false" outlineLevel="0" collapsed="false">
      <c r="A595" s="30" t="n">
        <v>592</v>
      </c>
      <c r="B595" s="31" t="n">
        <f aca="false">Summary!$B$5+IF(D595=1,0,IF(C595=1,Summary!$B$6,NA()))+(MATCH(1,E595:L595,0)-1)*Summary!$B$7+(MATCH(1,M595:T595,0)-1)*Summary!$B$8+(MATCH(1,U595:AB595,0)-1)*Summary!$B$9</f>
        <v>104</v>
      </c>
      <c r="C595" s="32" t="n">
        <v>1</v>
      </c>
      <c r="D595" s="32" t="n">
        <v>0</v>
      </c>
      <c r="E595" s="32" t="n">
        <v>0</v>
      </c>
      <c r="F595" s="32" t="n">
        <v>0</v>
      </c>
      <c r="G595" s="32" t="n">
        <v>0</v>
      </c>
      <c r="H595" s="32" t="n">
        <v>0</v>
      </c>
      <c r="I595" s="32" t="n">
        <v>0</v>
      </c>
      <c r="J595" s="32" t="n">
        <v>1</v>
      </c>
      <c r="K595" s="32" t="n">
        <v>0</v>
      </c>
      <c r="L595" s="32" t="n">
        <v>0</v>
      </c>
      <c r="M595" s="32" t="n">
        <v>0</v>
      </c>
      <c r="N595" s="32" t="n">
        <v>0</v>
      </c>
      <c r="O595" s="32" t="n">
        <v>1</v>
      </c>
      <c r="P595" s="32" t="n">
        <v>0</v>
      </c>
      <c r="Q595" s="32" t="n">
        <v>0</v>
      </c>
      <c r="R595" s="32" t="n">
        <v>0</v>
      </c>
      <c r="S595" s="32" t="n">
        <v>0</v>
      </c>
      <c r="T595" s="32" t="n">
        <v>0</v>
      </c>
      <c r="U595" s="32" t="n">
        <v>1</v>
      </c>
      <c r="V595" s="32" t="n">
        <v>0</v>
      </c>
      <c r="W595" s="32" t="n">
        <v>0</v>
      </c>
      <c r="X595" s="32" t="n">
        <v>0</v>
      </c>
      <c r="Y595" s="32" t="n">
        <v>0</v>
      </c>
      <c r="Z595" s="32" t="n">
        <v>0</v>
      </c>
      <c r="AA595" s="32" t="n">
        <v>0</v>
      </c>
      <c r="AB595" s="32" t="n">
        <v>0</v>
      </c>
      <c r="AC595" s="30" t="s">
        <v>696</v>
      </c>
      <c r="AD595" s="37" t="n">
        <f aca="false">B595-B594</f>
        <v>0.125</v>
      </c>
    </row>
    <row r="596" customFormat="false" ht="15" hidden="false" customHeight="false" outlineLevel="0" collapsed="false">
      <c r="A596" s="33" t="n">
        <v>593</v>
      </c>
      <c r="B596" s="34" t="n">
        <f aca="false">Summary!$B$5+IF(D596=1,0,IF(C596=1,Summary!$B$6,NA()))+(MATCH(1,E596:L596,0)-1)*Summary!$B$7+(MATCH(1,M596:T596,0)-1)*Summary!$B$8+(MATCH(1,U596:AB596,0)-1)*Summary!$B$9</f>
        <v>104.125</v>
      </c>
      <c r="C596" s="35" t="n">
        <v>1</v>
      </c>
      <c r="D596" s="35" t="n">
        <v>0</v>
      </c>
      <c r="E596" s="35" t="n">
        <v>0</v>
      </c>
      <c r="F596" s="35" t="n">
        <v>0</v>
      </c>
      <c r="G596" s="35" t="n">
        <v>0</v>
      </c>
      <c r="H596" s="35" t="n">
        <v>0</v>
      </c>
      <c r="I596" s="35" t="n">
        <v>0</v>
      </c>
      <c r="J596" s="35" t="n">
        <v>1</v>
      </c>
      <c r="K596" s="35" t="n">
        <v>0</v>
      </c>
      <c r="L596" s="35" t="n">
        <v>0</v>
      </c>
      <c r="M596" s="35" t="n">
        <v>0</v>
      </c>
      <c r="N596" s="35" t="n">
        <v>0</v>
      </c>
      <c r="O596" s="35" t="n">
        <v>1</v>
      </c>
      <c r="P596" s="35" t="n">
        <v>0</v>
      </c>
      <c r="Q596" s="35" t="n">
        <v>0</v>
      </c>
      <c r="R596" s="35" t="n">
        <v>0</v>
      </c>
      <c r="S596" s="35" t="n">
        <v>0</v>
      </c>
      <c r="T596" s="35" t="n">
        <v>0</v>
      </c>
      <c r="U596" s="35" t="n">
        <v>0</v>
      </c>
      <c r="V596" s="35" t="n">
        <v>1</v>
      </c>
      <c r="W596" s="35" t="n">
        <v>0</v>
      </c>
      <c r="X596" s="35" t="n">
        <v>0</v>
      </c>
      <c r="Y596" s="35" t="n">
        <v>0</v>
      </c>
      <c r="Z596" s="35" t="n">
        <v>0</v>
      </c>
      <c r="AA596" s="35" t="n">
        <v>0</v>
      </c>
      <c r="AB596" s="35" t="n">
        <v>0</v>
      </c>
      <c r="AC596" s="33" t="s">
        <v>697</v>
      </c>
      <c r="AD596" s="36" t="n">
        <f aca="false">B596-B595</f>
        <v>0.125</v>
      </c>
    </row>
    <row r="597" customFormat="false" ht="15" hidden="false" customHeight="false" outlineLevel="0" collapsed="false">
      <c r="A597" s="30" t="n">
        <v>594</v>
      </c>
      <c r="B597" s="31" t="n">
        <f aca="false">Summary!$B$5+IF(D597=1,0,IF(C597=1,Summary!$B$6,NA()))+(MATCH(1,E597:L597,0)-1)*Summary!$B$7+(MATCH(1,M597:T597,0)-1)*Summary!$B$8+(MATCH(1,U597:AB597,0)-1)*Summary!$B$9</f>
        <v>104.25</v>
      </c>
      <c r="C597" s="32" t="n">
        <v>1</v>
      </c>
      <c r="D597" s="32" t="n">
        <v>0</v>
      </c>
      <c r="E597" s="32" t="n">
        <v>0</v>
      </c>
      <c r="F597" s="32" t="n">
        <v>0</v>
      </c>
      <c r="G597" s="32" t="n">
        <v>0</v>
      </c>
      <c r="H597" s="32" t="n">
        <v>0</v>
      </c>
      <c r="I597" s="32" t="n">
        <v>0</v>
      </c>
      <c r="J597" s="32" t="n">
        <v>1</v>
      </c>
      <c r="K597" s="32" t="n">
        <v>0</v>
      </c>
      <c r="L597" s="32" t="n">
        <v>0</v>
      </c>
      <c r="M597" s="32" t="n">
        <v>0</v>
      </c>
      <c r="N597" s="32" t="n">
        <v>0</v>
      </c>
      <c r="O597" s="32" t="n">
        <v>1</v>
      </c>
      <c r="P597" s="32" t="n">
        <v>0</v>
      </c>
      <c r="Q597" s="32" t="n">
        <v>0</v>
      </c>
      <c r="R597" s="32" t="n">
        <v>0</v>
      </c>
      <c r="S597" s="32" t="n">
        <v>0</v>
      </c>
      <c r="T597" s="32" t="n">
        <v>0</v>
      </c>
      <c r="U597" s="32" t="n">
        <v>0</v>
      </c>
      <c r="V597" s="32" t="n">
        <v>0</v>
      </c>
      <c r="W597" s="32" t="n">
        <v>1</v>
      </c>
      <c r="X597" s="32" t="n">
        <v>0</v>
      </c>
      <c r="Y597" s="32" t="n">
        <v>0</v>
      </c>
      <c r="Z597" s="32" t="n">
        <v>0</v>
      </c>
      <c r="AA597" s="32" t="n">
        <v>0</v>
      </c>
      <c r="AB597" s="32" t="n">
        <v>0</v>
      </c>
      <c r="AC597" s="30" t="s">
        <v>698</v>
      </c>
      <c r="AD597" s="37" t="n">
        <f aca="false">B597-B596</f>
        <v>0.125</v>
      </c>
    </row>
    <row r="598" customFormat="false" ht="15" hidden="false" customHeight="false" outlineLevel="0" collapsed="false">
      <c r="A598" s="33" t="n">
        <v>595</v>
      </c>
      <c r="B598" s="34" t="n">
        <f aca="false">Summary!$B$5+IF(D598=1,0,IF(C598=1,Summary!$B$6,NA()))+(MATCH(1,E598:L598,0)-1)*Summary!$B$7+(MATCH(1,M598:T598,0)-1)*Summary!$B$8+(MATCH(1,U598:AB598,0)-1)*Summary!$B$9</f>
        <v>104.375</v>
      </c>
      <c r="C598" s="35" t="n">
        <v>1</v>
      </c>
      <c r="D598" s="35" t="n">
        <v>0</v>
      </c>
      <c r="E598" s="35" t="n">
        <v>0</v>
      </c>
      <c r="F598" s="35" t="n">
        <v>0</v>
      </c>
      <c r="G598" s="35" t="n">
        <v>0</v>
      </c>
      <c r="H598" s="35" t="n">
        <v>0</v>
      </c>
      <c r="I598" s="35" t="n">
        <v>0</v>
      </c>
      <c r="J598" s="35" t="n">
        <v>1</v>
      </c>
      <c r="K598" s="35" t="n">
        <v>0</v>
      </c>
      <c r="L598" s="35" t="n">
        <v>0</v>
      </c>
      <c r="M598" s="35" t="n">
        <v>0</v>
      </c>
      <c r="N598" s="35" t="n">
        <v>0</v>
      </c>
      <c r="O598" s="35" t="n">
        <v>1</v>
      </c>
      <c r="P598" s="35" t="n">
        <v>0</v>
      </c>
      <c r="Q598" s="35" t="n">
        <v>0</v>
      </c>
      <c r="R598" s="35" t="n">
        <v>0</v>
      </c>
      <c r="S598" s="35" t="n">
        <v>0</v>
      </c>
      <c r="T598" s="35" t="n">
        <v>0</v>
      </c>
      <c r="U598" s="35" t="n">
        <v>0</v>
      </c>
      <c r="V598" s="35" t="n">
        <v>0</v>
      </c>
      <c r="W598" s="35" t="n">
        <v>0</v>
      </c>
      <c r="X598" s="35" t="n">
        <v>1</v>
      </c>
      <c r="Y598" s="35" t="n">
        <v>0</v>
      </c>
      <c r="Z598" s="35" t="n">
        <v>0</v>
      </c>
      <c r="AA598" s="35" t="n">
        <v>0</v>
      </c>
      <c r="AB598" s="35" t="n">
        <v>0</v>
      </c>
      <c r="AC598" s="33" t="s">
        <v>699</v>
      </c>
      <c r="AD598" s="36" t="n">
        <f aca="false">B598-B597</f>
        <v>0.125</v>
      </c>
    </row>
    <row r="599" customFormat="false" ht="15" hidden="false" customHeight="false" outlineLevel="0" collapsed="false">
      <c r="A599" s="30" t="n">
        <v>596</v>
      </c>
      <c r="B599" s="31" t="n">
        <f aca="false">Summary!$B$5+IF(D599=1,0,IF(C599=1,Summary!$B$6,NA()))+(MATCH(1,E599:L599,0)-1)*Summary!$B$7+(MATCH(1,M599:T599,0)-1)*Summary!$B$8+(MATCH(1,U599:AB599,0)-1)*Summary!$B$9</f>
        <v>104.5</v>
      </c>
      <c r="C599" s="32" t="n">
        <v>1</v>
      </c>
      <c r="D599" s="32" t="n">
        <v>0</v>
      </c>
      <c r="E599" s="32" t="n">
        <v>0</v>
      </c>
      <c r="F599" s="32" t="n">
        <v>0</v>
      </c>
      <c r="G599" s="32" t="n">
        <v>0</v>
      </c>
      <c r="H599" s="32" t="n">
        <v>0</v>
      </c>
      <c r="I599" s="32" t="n">
        <v>0</v>
      </c>
      <c r="J599" s="32" t="n">
        <v>1</v>
      </c>
      <c r="K599" s="32" t="n">
        <v>0</v>
      </c>
      <c r="L599" s="32" t="n">
        <v>0</v>
      </c>
      <c r="M599" s="32" t="n">
        <v>0</v>
      </c>
      <c r="N599" s="32" t="n">
        <v>0</v>
      </c>
      <c r="O599" s="32" t="n">
        <v>1</v>
      </c>
      <c r="P599" s="32" t="n">
        <v>0</v>
      </c>
      <c r="Q599" s="32" t="n">
        <v>0</v>
      </c>
      <c r="R599" s="32" t="n">
        <v>0</v>
      </c>
      <c r="S599" s="32" t="n">
        <v>0</v>
      </c>
      <c r="T599" s="32" t="n">
        <v>0</v>
      </c>
      <c r="U599" s="32" t="n">
        <v>0</v>
      </c>
      <c r="V599" s="32" t="n">
        <v>0</v>
      </c>
      <c r="W599" s="32" t="n">
        <v>0</v>
      </c>
      <c r="X599" s="32" t="n">
        <v>0</v>
      </c>
      <c r="Y599" s="32" t="n">
        <v>1</v>
      </c>
      <c r="Z599" s="32" t="n">
        <v>0</v>
      </c>
      <c r="AA599" s="32" t="n">
        <v>0</v>
      </c>
      <c r="AB599" s="32" t="n">
        <v>0</v>
      </c>
      <c r="AC599" s="30" t="s">
        <v>700</v>
      </c>
      <c r="AD599" s="37" t="n">
        <f aca="false">B599-B598</f>
        <v>0.125</v>
      </c>
    </row>
    <row r="600" customFormat="false" ht="15" hidden="false" customHeight="false" outlineLevel="0" collapsed="false">
      <c r="A600" s="33" t="n">
        <v>597</v>
      </c>
      <c r="B600" s="34" t="n">
        <f aca="false">Summary!$B$5+IF(D600=1,0,IF(C600=1,Summary!$B$6,NA()))+(MATCH(1,E600:L600,0)-1)*Summary!$B$7+(MATCH(1,M600:T600,0)-1)*Summary!$B$8+(MATCH(1,U600:AB600,0)-1)*Summary!$B$9</f>
        <v>104.625</v>
      </c>
      <c r="C600" s="35" t="n">
        <v>1</v>
      </c>
      <c r="D600" s="35" t="n">
        <v>0</v>
      </c>
      <c r="E600" s="35" t="n">
        <v>0</v>
      </c>
      <c r="F600" s="35" t="n">
        <v>0</v>
      </c>
      <c r="G600" s="35" t="n">
        <v>0</v>
      </c>
      <c r="H600" s="35" t="n">
        <v>0</v>
      </c>
      <c r="I600" s="35" t="n">
        <v>0</v>
      </c>
      <c r="J600" s="35" t="n">
        <v>1</v>
      </c>
      <c r="K600" s="35" t="n">
        <v>0</v>
      </c>
      <c r="L600" s="35" t="n">
        <v>0</v>
      </c>
      <c r="M600" s="35" t="n">
        <v>0</v>
      </c>
      <c r="N600" s="35" t="n">
        <v>0</v>
      </c>
      <c r="O600" s="35" t="n">
        <v>1</v>
      </c>
      <c r="P600" s="35" t="n">
        <v>0</v>
      </c>
      <c r="Q600" s="35" t="n">
        <v>0</v>
      </c>
      <c r="R600" s="35" t="n">
        <v>0</v>
      </c>
      <c r="S600" s="35" t="n">
        <v>0</v>
      </c>
      <c r="T600" s="35" t="n">
        <v>0</v>
      </c>
      <c r="U600" s="35" t="n">
        <v>0</v>
      </c>
      <c r="V600" s="35" t="n">
        <v>0</v>
      </c>
      <c r="W600" s="35" t="n">
        <v>0</v>
      </c>
      <c r="X600" s="35" t="n">
        <v>0</v>
      </c>
      <c r="Y600" s="35" t="n">
        <v>0</v>
      </c>
      <c r="Z600" s="35" t="n">
        <v>1</v>
      </c>
      <c r="AA600" s="35" t="n">
        <v>0</v>
      </c>
      <c r="AB600" s="35" t="n">
        <v>0</v>
      </c>
      <c r="AC600" s="33" t="s">
        <v>701</v>
      </c>
      <c r="AD600" s="36" t="n">
        <f aca="false">B600-B599</f>
        <v>0.125</v>
      </c>
    </row>
    <row r="601" customFormat="false" ht="15" hidden="false" customHeight="false" outlineLevel="0" collapsed="false">
      <c r="A601" s="30" t="n">
        <v>598</v>
      </c>
      <c r="B601" s="31" t="n">
        <f aca="false">Summary!$B$5+IF(D601=1,0,IF(C601=1,Summary!$B$6,NA()))+(MATCH(1,E601:L601,0)-1)*Summary!$B$7+(MATCH(1,M601:T601,0)-1)*Summary!$B$8+(MATCH(1,U601:AB601,0)-1)*Summary!$B$9</f>
        <v>104.75</v>
      </c>
      <c r="C601" s="32" t="n">
        <v>1</v>
      </c>
      <c r="D601" s="32" t="n">
        <v>0</v>
      </c>
      <c r="E601" s="32" t="n">
        <v>0</v>
      </c>
      <c r="F601" s="32" t="n">
        <v>0</v>
      </c>
      <c r="G601" s="32" t="n">
        <v>0</v>
      </c>
      <c r="H601" s="32" t="n">
        <v>0</v>
      </c>
      <c r="I601" s="32" t="n">
        <v>0</v>
      </c>
      <c r="J601" s="32" t="n">
        <v>1</v>
      </c>
      <c r="K601" s="32" t="n">
        <v>0</v>
      </c>
      <c r="L601" s="32" t="n">
        <v>0</v>
      </c>
      <c r="M601" s="32" t="n">
        <v>0</v>
      </c>
      <c r="N601" s="32" t="n">
        <v>0</v>
      </c>
      <c r="O601" s="32" t="n">
        <v>1</v>
      </c>
      <c r="P601" s="32" t="n">
        <v>0</v>
      </c>
      <c r="Q601" s="32" t="n">
        <v>0</v>
      </c>
      <c r="R601" s="32" t="n">
        <v>0</v>
      </c>
      <c r="S601" s="32" t="n">
        <v>0</v>
      </c>
      <c r="T601" s="32" t="n">
        <v>0</v>
      </c>
      <c r="U601" s="32" t="n">
        <v>0</v>
      </c>
      <c r="V601" s="32" t="n">
        <v>0</v>
      </c>
      <c r="W601" s="32" t="n">
        <v>0</v>
      </c>
      <c r="X601" s="32" t="n">
        <v>0</v>
      </c>
      <c r="Y601" s="32" t="n">
        <v>0</v>
      </c>
      <c r="Z601" s="32" t="n">
        <v>0</v>
      </c>
      <c r="AA601" s="32" t="n">
        <v>1</v>
      </c>
      <c r="AB601" s="32" t="n">
        <v>0</v>
      </c>
      <c r="AC601" s="30" t="s">
        <v>702</v>
      </c>
      <c r="AD601" s="37" t="n">
        <f aca="false">B601-B600</f>
        <v>0.125</v>
      </c>
    </row>
    <row r="602" customFormat="false" ht="15" hidden="false" customHeight="false" outlineLevel="0" collapsed="false">
      <c r="A602" s="33" t="n">
        <v>599</v>
      </c>
      <c r="B602" s="34" t="n">
        <f aca="false">Summary!$B$5+IF(D602=1,0,IF(C602=1,Summary!$B$6,NA()))+(MATCH(1,E602:L602,0)-1)*Summary!$B$7+(MATCH(1,M602:T602,0)-1)*Summary!$B$8+(MATCH(1,U602:AB602,0)-1)*Summary!$B$9</f>
        <v>104.875</v>
      </c>
      <c r="C602" s="35" t="n">
        <v>1</v>
      </c>
      <c r="D602" s="35" t="n">
        <v>0</v>
      </c>
      <c r="E602" s="35" t="n">
        <v>0</v>
      </c>
      <c r="F602" s="35" t="n">
        <v>0</v>
      </c>
      <c r="G602" s="35" t="n">
        <v>0</v>
      </c>
      <c r="H602" s="35" t="n">
        <v>0</v>
      </c>
      <c r="I602" s="35" t="n">
        <v>0</v>
      </c>
      <c r="J602" s="35" t="n">
        <v>1</v>
      </c>
      <c r="K602" s="35" t="n">
        <v>0</v>
      </c>
      <c r="L602" s="35" t="n">
        <v>0</v>
      </c>
      <c r="M602" s="35" t="n">
        <v>0</v>
      </c>
      <c r="N602" s="35" t="n">
        <v>0</v>
      </c>
      <c r="O602" s="35" t="n">
        <v>1</v>
      </c>
      <c r="P602" s="35" t="n">
        <v>0</v>
      </c>
      <c r="Q602" s="35" t="n">
        <v>0</v>
      </c>
      <c r="R602" s="35" t="n">
        <v>0</v>
      </c>
      <c r="S602" s="35" t="n">
        <v>0</v>
      </c>
      <c r="T602" s="35" t="n">
        <v>0</v>
      </c>
      <c r="U602" s="35" t="n">
        <v>0</v>
      </c>
      <c r="V602" s="35" t="n">
        <v>0</v>
      </c>
      <c r="W602" s="35" t="n">
        <v>0</v>
      </c>
      <c r="X602" s="35" t="n">
        <v>0</v>
      </c>
      <c r="Y602" s="35" t="n">
        <v>0</v>
      </c>
      <c r="Z602" s="35" t="n">
        <v>0</v>
      </c>
      <c r="AA602" s="35" t="n">
        <v>0</v>
      </c>
      <c r="AB602" s="35" t="n">
        <v>1</v>
      </c>
      <c r="AC602" s="33" t="s">
        <v>703</v>
      </c>
      <c r="AD602" s="36" t="n">
        <f aca="false">B602-B601</f>
        <v>0.125</v>
      </c>
    </row>
    <row r="603" customFormat="false" ht="15" hidden="false" customHeight="false" outlineLevel="0" collapsed="false">
      <c r="A603" s="30" t="n">
        <v>600</v>
      </c>
      <c r="B603" s="31" t="n">
        <f aca="false">Summary!$B$5+IF(D603=1,0,IF(C603=1,Summary!$B$6,NA()))+(MATCH(1,E603:L603,0)-1)*Summary!$B$7+(MATCH(1,M603:T603,0)-1)*Summary!$B$8+(MATCH(1,U603:AB603,0)-1)*Summary!$B$9</f>
        <v>105</v>
      </c>
      <c r="C603" s="32" t="n">
        <v>1</v>
      </c>
      <c r="D603" s="32" t="n">
        <v>0</v>
      </c>
      <c r="E603" s="32" t="n">
        <v>0</v>
      </c>
      <c r="F603" s="32" t="n">
        <v>0</v>
      </c>
      <c r="G603" s="32" t="n">
        <v>0</v>
      </c>
      <c r="H603" s="32" t="n">
        <v>0</v>
      </c>
      <c r="I603" s="32" t="n">
        <v>0</v>
      </c>
      <c r="J603" s="32" t="n">
        <v>1</v>
      </c>
      <c r="K603" s="32" t="n">
        <v>0</v>
      </c>
      <c r="L603" s="32" t="n">
        <v>0</v>
      </c>
      <c r="M603" s="32" t="n">
        <v>0</v>
      </c>
      <c r="N603" s="32" t="n">
        <v>0</v>
      </c>
      <c r="O603" s="32" t="n">
        <v>0</v>
      </c>
      <c r="P603" s="32" t="n">
        <v>1</v>
      </c>
      <c r="Q603" s="32" t="n">
        <v>0</v>
      </c>
      <c r="R603" s="32" t="n">
        <v>0</v>
      </c>
      <c r="S603" s="32" t="n">
        <v>0</v>
      </c>
      <c r="T603" s="32" t="n">
        <v>0</v>
      </c>
      <c r="U603" s="32" t="n">
        <v>1</v>
      </c>
      <c r="V603" s="32" t="n">
        <v>0</v>
      </c>
      <c r="W603" s="32" t="n">
        <v>0</v>
      </c>
      <c r="X603" s="32" t="n">
        <v>0</v>
      </c>
      <c r="Y603" s="32" t="n">
        <v>0</v>
      </c>
      <c r="Z603" s="32" t="n">
        <v>0</v>
      </c>
      <c r="AA603" s="32" t="n">
        <v>0</v>
      </c>
      <c r="AB603" s="32" t="n">
        <v>0</v>
      </c>
      <c r="AC603" s="30" t="s">
        <v>704</v>
      </c>
      <c r="AD603" s="37" t="n">
        <f aca="false">B603-B602</f>
        <v>0.125</v>
      </c>
    </row>
    <row r="604" customFormat="false" ht="15" hidden="false" customHeight="false" outlineLevel="0" collapsed="false">
      <c r="A604" s="33" t="n">
        <v>601</v>
      </c>
      <c r="B604" s="34" t="n">
        <f aca="false">Summary!$B$5+IF(D604=1,0,IF(C604=1,Summary!$B$6,NA()))+(MATCH(1,E604:L604,0)-1)*Summary!$B$7+(MATCH(1,M604:T604,0)-1)*Summary!$B$8+(MATCH(1,U604:AB604,0)-1)*Summary!$B$9</f>
        <v>105.125</v>
      </c>
      <c r="C604" s="35" t="n">
        <v>1</v>
      </c>
      <c r="D604" s="35" t="n">
        <v>0</v>
      </c>
      <c r="E604" s="35" t="n">
        <v>0</v>
      </c>
      <c r="F604" s="35" t="n">
        <v>0</v>
      </c>
      <c r="G604" s="35" t="n">
        <v>0</v>
      </c>
      <c r="H604" s="35" t="n">
        <v>0</v>
      </c>
      <c r="I604" s="35" t="n">
        <v>0</v>
      </c>
      <c r="J604" s="35" t="n">
        <v>1</v>
      </c>
      <c r="K604" s="35" t="n">
        <v>0</v>
      </c>
      <c r="L604" s="35" t="n">
        <v>0</v>
      </c>
      <c r="M604" s="35" t="n">
        <v>0</v>
      </c>
      <c r="N604" s="35" t="n">
        <v>0</v>
      </c>
      <c r="O604" s="35" t="n">
        <v>0</v>
      </c>
      <c r="P604" s="35" t="n">
        <v>1</v>
      </c>
      <c r="Q604" s="35" t="n">
        <v>0</v>
      </c>
      <c r="R604" s="35" t="n">
        <v>0</v>
      </c>
      <c r="S604" s="35" t="n">
        <v>0</v>
      </c>
      <c r="T604" s="35" t="n">
        <v>0</v>
      </c>
      <c r="U604" s="35" t="n">
        <v>0</v>
      </c>
      <c r="V604" s="35" t="n">
        <v>1</v>
      </c>
      <c r="W604" s="35" t="n">
        <v>0</v>
      </c>
      <c r="X604" s="35" t="n">
        <v>0</v>
      </c>
      <c r="Y604" s="35" t="n">
        <v>0</v>
      </c>
      <c r="Z604" s="35" t="n">
        <v>0</v>
      </c>
      <c r="AA604" s="35" t="n">
        <v>0</v>
      </c>
      <c r="AB604" s="35" t="n">
        <v>0</v>
      </c>
      <c r="AC604" s="33" t="s">
        <v>705</v>
      </c>
      <c r="AD604" s="36" t="n">
        <f aca="false">B604-B603</f>
        <v>0.125</v>
      </c>
    </row>
    <row r="605" customFormat="false" ht="15" hidden="false" customHeight="false" outlineLevel="0" collapsed="false">
      <c r="A605" s="30" t="n">
        <v>602</v>
      </c>
      <c r="B605" s="31" t="n">
        <f aca="false">Summary!$B$5+IF(D605=1,0,IF(C605=1,Summary!$B$6,NA()))+(MATCH(1,E605:L605,0)-1)*Summary!$B$7+(MATCH(1,M605:T605,0)-1)*Summary!$B$8+(MATCH(1,U605:AB605,0)-1)*Summary!$B$9</f>
        <v>105.25</v>
      </c>
      <c r="C605" s="32" t="n">
        <v>1</v>
      </c>
      <c r="D605" s="32" t="n">
        <v>0</v>
      </c>
      <c r="E605" s="32" t="n">
        <v>0</v>
      </c>
      <c r="F605" s="32" t="n">
        <v>0</v>
      </c>
      <c r="G605" s="32" t="n">
        <v>0</v>
      </c>
      <c r="H605" s="32" t="n">
        <v>0</v>
      </c>
      <c r="I605" s="32" t="n">
        <v>0</v>
      </c>
      <c r="J605" s="32" t="n">
        <v>1</v>
      </c>
      <c r="K605" s="32" t="n">
        <v>0</v>
      </c>
      <c r="L605" s="32" t="n">
        <v>0</v>
      </c>
      <c r="M605" s="32" t="n">
        <v>0</v>
      </c>
      <c r="N605" s="32" t="n">
        <v>0</v>
      </c>
      <c r="O605" s="32" t="n">
        <v>0</v>
      </c>
      <c r="P605" s="32" t="n">
        <v>1</v>
      </c>
      <c r="Q605" s="32" t="n">
        <v>0</v>
      </c>
      <c r="R605" s="32" t="n">
        <v>0</v>
      </c>
      <c r="S605" s="32" t="n">
        <v>0</v>
      </c>
      <c r="T605" s="32" t="n">
        <v>0</v>
      </c>
      <c r="U605" s="32" t="n">
        <v>0</v>
      </c>
      <c r="V605" s="32" t="n">
        <v>0</v>
      </c>
      <c r="W605" s="32" t="n">
        <v>1</v>
      </c>
      <c r="X605" s="32" t="n">
        <v>0</v>
      </c>
      <c r="Y605" s="32" t="n">
        <v>0</v>
      </c>
      <c r="Z605" s="32" t="n">
        <v>0</v>
      </c>
      <c r="AA605" s="32" t="n">
        <v>0</v>
      </c>
      <c r="AB605" s="32" t="n">
        <v>0</v>
      </c>
      <c r="AC605" s="30" t="s">
        <v>706</v>
      </c>
      <c r="AD605" s="37" t="n">
        <f aca="false">B605-B604</f>
        <v>0.125</v>
      </c>
    </row>
    <row r="606" customFormat="false" ht="15" hidden="false" customHeight="false" outlineLevel="0" collapsed="false">
      <c r="A606" s="33" t="n">
        <v>603</v>
      </c>
      <c r="B606" s="34" t="n">
        <f aca="false">Summary!$B$5+IF(D606=1,0,IF(C606=1,Summary!$B$6,NA()))+(MATCH(1,E606:L606,0)-1)*Summary!$B$7+(MATCH(1,M606:T606,0)-1)*Summary!$B$8+(MATCH(1,U606:AB606,0)-1)*Summary!$B$9</f>
        <v>105.375</v>
      </c>
      <c r="C606" s="35" t="n">
        <v>1</v>
      </c>
      <c r="D606" s="35" t="n">
        <v>0</v>
      </c>
      <c r="E606" s="35" t="n">
        <v>0</v>
      </c>
      <c r="F606" s="35" t="n">
        <v>0</v>
      </c>
      <c r="G606" s="35" t="n">
        <v>0</v>
      </c>
      <c r="H606" s="35" t="n">
        <v>0</v>
      </c>
      <c r="I606" s="35" t="n">
        <v>0</v>
      </c>
      <c r="J606" s="35" t="n">
        <v>1</v>
      </c>
      <c r="K606" s="35" t="n">
        <v>0</v>
      </c>
      <c r="L606" s="35" t="n">
        <v>0</v>
      </c>
      <c r="M606" s="35" t="n">
        <v>0</v>
      </c>
      <c r="N606" s="35" t="n">
        <v>0</v>
      </c>
      <c r="O606" s="35" t="n">
        <v>0</v>
      </c>
      <c r="P606" s="35" t="n">
        <v>1</v>
      </c>
      <c r="Q606" s="35" t="n">
        <v>0</v>
      </c>
      <c r="R606" s="35" t="n">
        <v>0</v>
      </c>
      <c r="S606" s="35" t="n">
        <v>0</v>
      </c>
      <c r="T606" s="35" t="n">
        <v>0</v>
      </c>
      <c r="U606" s="35" t="n">
        <v>0</v>
      </c>
      <c r="V606" s="35" t="n">
        <v>0</v>
      </c>
      <c r="W606" s="35" t="n">
        <v>0</v>
      </c>
      <c r="X606" s="35" t="n">
        <v>1</v>
      </c>
      <c r="Y606" s="35" t="n">
        <v>0</v>
      </c>
      <c r="Z606" s="35" t="n">
        <v>0</v>
      </c>
      <c r="AA606" s="35" t="n">
        <v>0</v>
      </c>
      <c r="AB606" s="35" t="n">
        <v>0</v>
      </c>
      <c r="AC606" s="33" t="s">
        <v>707</v>
      </c>
      <c r="AD606" s="36" t="n">
        <f aca="false">B606-B605</f>
        <v>0.125</v>
      </c>
    </row>
    <row r="607" customFormat="false" ht="15" hidden="false" customHeight="false" outlineLevel="0" collapsed="false">
      <c r="A607" s="30" t="n">
        <v>604</v>
      </c>
      <c r="B607" s="31" t="n">
        <f aca="false">Summary!$B$5+IF(D607=1,0,IF(C607=1,Summary!$B$6,NA()))+(MATCH(1,E607:L607,0)-1)*Summary!$B$7+(MATCH(1,M607:T607,0)-1)*Summary!$B$8+(MATCH(1,U607:AB607,0)-1)*Summary!$B$9</f>
        <v>105.5</v>
      </c>
      <c r="C607" s="32" t="n">
        <v>1</v>
      </c>
      <c r="D607" s="32" t="n">
        <v>0</v>
      </c>
      <c r="E607" s="32" t="n">
        <v>0</v>
      </c>
      <c r="F607" s="32" t="n">
        <v>0</v>
      </c>
      <c r="G607" s="32" t="n">
        <v>0</v>
      </c>
      <c r="H607" s="32" t="n">
        <v>0</v>
      </c>
      <c r="I607" s="32" t="n">
        <v>0</v>
      </c>
      <c r="J607" s="32" t="n">
        <v>1</v>
      </c>
      <c r="K607" s="32" t="n">
        <v>0</v>
      </c>
      <c r="L607" s="32" t="n">
        <v>0</v>
      </c>
      <c r="M607" s="32" t="n">
        <v>0</v>
      </c>
      <c r="N607" s="32" t="n">
        <v>0</v>
      </c>
      <c r="O607" s="32" t="n">
        <v>0</v>
      </c>
      <c r="P607" s="32" t="n">
        <v>1</v>
      </c>
      <c r="Q607" s="32" t="n">
        <v>0</v>
      </c>
      <c r="R607" s="32" t="n">
        <v>0</v>
      </c>
      <c r="S607" s="32" t="n">
        <v>0</v>
      </c>
      <c r="T607" s="32" t="n">
        <v>0</v>
      </c>
      <c r="U607" s="32" t="n">
        <v>0</v>
      </c>
      <c r="V607" s="32" t="n">
        <v>0</v>
      </c>
      <c r="W607" s="32" t="n">
        <v>0</v>
      </c>
      <c r="X607" s="32" t="n">
        <v>0</v>
      </c>
      <c r="Y607" s="32" t="n">
        <v>1</v>
      </c>
      <c r="Z607" s="32" t="n">
        <v>0</v>
      </c>
      <c r="AA607" s="32" t="n">
        <v>0</v>
      </c>
      <c r="AB607" s="32" t="n">
        <v>0</v>
      </c>
      <c r="AC607" s="30" t="s">
        <v>708</v>
      </c>
      <c r="AD607" s="37" t="n">
        <f aca="false">B607-B606</f>
        <v>0.125</v>
      </c>
    </row>
    <row r="608" customFormat="false" ht="15" hidden="false" customHeight="false" outlineLevel="0" collapsed="false">
      <c r="A608" s="33" t="n">
        <v>605</v>
      </c>
      <c r="B608" s="34" t="n">
        <f aca="false">Summary!$B$5+IF(D608=1,0,IF(C608=1,Summary!$B$6,NA()))+(MATCH(1,E608:L608,0)-1)*Summary!$B$7+(MATCH(1,M608:T608,0)-1)*Summary!$B$8+(MATCH(1,U608:AB608,0)-1)*Summary!$B$9</f>
        <v>105.625</v>
      </c>
      <c r="C608" s="35" t="n">
        <v>1</v>
      </c>
      <c r="D608" s="35" t="n">
        <v>0</v>
      </c>
      <c r="E608" s="35" t="n">
        <v>0</v>
      </c>
      <c r="F608" s="35" t="n">
        <v>0</v>
      </c>
      <c r="G608" s="35" t="n">
        <v>0</v>
      </c>
      <c r="H608" s="35" t="n">
        <v>0</v>
      </c>
      <c r="I608" s="35" t="n">
        <v>0</v>
      </c>
      <c r="J608" s="35" t="n">
        <v>1</v>
      </c>
      <c r="K608" s="35" t="n">
        <v>0</v>
      </c>
      <c r="L608" s="35" t="n">
        <v>0</v>
      </c>
      <c r="M608" s="35" t="n">
        <v>0</v>
      </c>
      <c r="N608" s="35" t="n">
        <v>0</v>
      </c>
      <c r="O608" s="35" t="n">
        <v>0</v>
      </c>
      <c r="P608" s="35" t="n">
        <v>1</v>
      </c>
      <c r="Q608" s="35" t="n">
        <v>0</v>
      </c>
      <c r="R608" s="35" t="n">
        <v>0</v>
      </c>
      <c r="S608" s="35" t="n">
        <v>0</v>
      </c>
      <c r="T608" s="35" t="n">
        <v>0</v>
      </c>
      <c r="U608" s="35" t="n">
        <v>0</v>
      </c>
      <c r="V608" s="35" t="n">
        <v>0</v>
      </c>
      <c r="W608" s="35" t="n">
        <v>0</v>
      </c>
      <c r="X608" s="35" t="n">
        <v>0</v>
      </c>
      <c r="Y608" s="35" t="n">
        <v>0</v>
      </c>
      <c r="Z608" s="35" t="n">
        <v>1</v>
      </c>
      <c r="AA608" s="35" t="n">
        <v>0</v>
      </c>
      <c r="AB608" s="35" t="n">
        <v>0</v>
      </c>
      <c r="AC608" s="33" t="s">
        <v>709</v>
      </c>
      <c r="AD608" s="36" t="n">
        <f aca="false">B608-B607</f>
        <v>0.125</v>
      </c>
    </row>
    <row r="609" customFormat="false" ht="15" hidden="false" customHeight="false" outlineLevel="0" collapsed="false">
      <c r="A609" s="30" t="n">
        <v>606</v>
      </c>
      <c r="B609" s="31" t="n">
        <f aca="false">Summary!$B$5+IF(D609=1,0,IF(C609=1,Summary!$B$6,NA()))+(MATCH(1,E609:L609,0)-1)*Summary!$B$7+(MATCH(1,M609:T609,0)-1)*Summary!$B$8+(MATCH(1,U609:AB609,0)-1)*Summary!$B$9</f>
        <v>105.75</v>
      </c>
      <c r="C609" s="32" t="n">
        <v>1</v>
      </c>
      <c r="D609" s="32" t="n">
        <v>0</v>
      </c>
      <c r="E609" s="32" t="n">
        <v>0</v>
      </c>
      <c r="F609" s="32" t="n">
        <v>0</v>
      </c>
      <c r="G609" s="32" t="n">
        <v>0</v>
      </c>
      <c r="H609" s="32" t="n">
        <v>0</v>
      </c>
      <c r="I609" s="32" t="n">
        <v>0</v>
      </c>
      <c r="J609" s="32" t="n">
        <v>1</v>
      </c>
      <c r="K609" s="32" t="n">
        <v>0</v>
      </c>
      <c r="L609" s="32" t="n">
        <v>0</v>
      </c>
      <c r="M609" s="32" t="n">
        <v>0</v>
      </c>
      <c r="N609" s="32" t="n">
        <v>0</v>
      </c>
      <c r="O609" s="32" t="n">
        <v>0</v>
      </c>
      <c r="P609" s="32" t="n">
        <v>1</v>
      </c>
      <c r="Q609" s="32" t="n">
        <v>0</v>
      </c>
      <c r="R609" s="32" t="n">
        <v>0</v>
      </c>
      <c r="S609" s="32" t="n">
        <v>0</v>
      </c>
      <c r="T609" s="32" t="n">
        <v>0</v>
      </c>
      <c r="U609" s="32" t="n">
        <v>0</v>
      </c>
      <c r="V609" s="32" t="n">
        <v>0</v>
      </c>
      <c r="W609" s="32" t="n">
        <v>0</v>
      </c>
      <c r="X609" s="32" t="n">
        <v>0</v>
      </c>
      <c r="Y609" s="32" t="n">
        <v>0</v>
      </c>
      <c r="Z609" s="32" t="n">
        <v>0</v>
      </c>
      <c r="AA609" s="32" t="n">
        <v>1</v>
      </c>
      <c r="AB609" s="32" t="n">
        <v>0</v>
      </c>
      <c r="AC609" s="30" t="s">
        <v>710</v>
      </c>
      <c r="AD609" s="37" t="n">
        <f aca="false">B609-B608</f>
        <v>0.125</v>
      </c>
    </row>
    <row r="610" customFormat="false" ht="15" hidden="false" customHeight="false" outlineLevel="0" collapsed="false">
      <c r="A610" s="33" t="n">
        <v>607</v>
      </c>
      <c r="B610" s="34" t="n">
        <f aca="false">Summary!$B$5+IF(D610=1,0,IF(C610=1,Summary!$B$6,NA()))+(MATCH(1,E610:L610,0)-1)*Summary!$B$7+(MATCH(1,M610:T610,0)-1)*Summary!$B$8+(MATCH(1,U610:AB610,0)-1)*Summary!$B$9</f>
        <v>105.875</v>
      </c>
      <c r="C610" s="35" t="n">
        <v>1</v>
      </c>
      <c r="D610" s="35" t="n">
        <v>0</v>
      </c>
      <c r="E610" s="35" t="n">
        <v>0</v>
      </c>
      <c r="F610" s="35" t="n">
        <v>0</v>
      </c>
      <c r="G610" s="35" t="n">
        <v>0</v>
      </c>
      <c r="H610" s="35" t="n">
        <v>0</v>
      </c>
      <c r="I610" s="35" t="n">
        <v>0</v>
      </c>
      <c r="J610" s="35" t="n">
        <v>1</v>
      </c>
      <c r="K610" s="35" t="n">
        <v>0</v>
      </c>
      <c r="L610" s="35" t="n">
        <v>0</v>
      </c>
      <c r="M610" s="35" t="n">
        <v>0</v>
      </c>
      <c r="N610" s="35" t="n">
        <v>0</v>
      </c>
      <c r="O610" s="35" t="n">
        <v>0</v>
      </c>
      <c r="P610" s="35" t="n">
        <v>1</v>
      </c>
      <c r="Q610" s="35" t="n">
        <v>0</v>
      </c>
      <c r="R610" s="35" t="n">
        <v>0</v>
      </c>
      <c r="S610" s="35" t="n">
        <v>0</v>
      </c>
      <c r="T610" s="35" t="n">
        <v>0</v>
      </c>
      <c r="U610" s="35" t="n">
        <v>0</v>
      </c>
      <c r="V610" s="35" t="n">
        <v>0</v>
      </c>
      <c r="W610" s="35" t="n">
        <v>0</v>
      </c>
      <c r="X610" s="35" t="n">
        <v>0</v>
      </c>
      <c r="Y610" s="35" t="n">
        <v>0</v>
      </c>
      <c r="Z610" s="35" t="n">
        <v>0</v>
      </c>
      <c r="AA610" s="35" t="n">
        <v>0</v>
      </c>
      <c r="AB610" s="35" t="n">
        <v>1</v>
      </c>
      <c r="AC610" s="33" t="s">
        <v>711</v>
      </c>
      <c r="AD610" s="36" t="n">
        <f aca="false">B610-B609</f>
        <v>0.125</v>
      </c>
    </row>
    <row r="611" customFormat="false" ht="15" hidden="false" customHeight="false" outlineLevel="0" collapsed="false">
      <c r="A611" s="30" t="n">
        <v>608</v>
      </c>
      <c r="B611" s="31" t="n">
        <f aca="false">Summary!$B$5+IF(D611=1,0,IF(C611=1,Summary!$B$6,NA()))+(MATCH(1,E611:L611,0)-1)*Summary!$B$7+(MATCH(1,M611:T611,0)-1)*Summary!$B$8+(MATCH(1,U611:AB611,0)-1)*Summary!$B$9</f>
        <v>106</v>
      </c>
      <c r="C611" s="32" t="n">
        <v>1</v>
      </c>
      <c r="D611" s="32" t="n">
        <v>0</v>
      </c>
      <c r="E611" s="32" t="n">
        <v>0</v>
      </c>
      <c r="F611" s="32" t="n">
        <v>0</v>
      </c>
      <c r="G611" s="32" t="n">
        <v>0</v>
      </c>
      <c r="H611" s="32" t="n">
        <v>0</v>
      </c>
      <c r="I611" s="32" t="n">
        <v>0</v>
      </c>
      <c r="J611" s="32" t="n">
        <v>1</v>
      </c>
      <c r="K611" s="32" t="n">
        <v>0</v>
      </c>
      <c r="L611" s="32" t="n">
        <v>0</v>
      </c>
      <c r="M611" s="32" t="n">
        <v>0</v>
      </c>
      <c r="N611" s="32" t="n">
        <v>0</v>
      </c>
      <c r="O611" s="32" t="n">
        <v>0</v>
      </c>
      <c r="P611" s="32" t="n">
        <v>0</v>
      </c>
      <c r="Q611" s="32" t="n">
        <v>1</v>
      </c>
      <c r="R611" s="32" t="n">
        <v>0</v>
      </c>
      <c r="S611" s="32" t="n">
        <v>0</v>
      </c>
      <c r="T611" s="32" t="n">
        <v>0</v>
      </c>
      <c r="U611" s="32" t="n">
        <v>1</v>
      </c>
      <c r="V611" s="32" t="n">
        <v>0</v>
      </c>
      <c r="W611" s="32" t="n">
        <v>0</v>
      </c>
      <c r="X611" s="32" t="n">
        <v>0</v>
      </c>
      <c r="Y611" s="32" t="n">
        <v>0</v>
      </c>
      <c r="Z611" s="32" t="n">
        <v>0</v>
      </c>
      <c r="AA611" s="32" t="n">
        <v>0</v>
      </c>
      <c r="AB611" s="32" t="n">
        <v>0</v>
      </c>
      <c r="AC611" s="30" t="s">
        <v>712</v>
      </c>
      <c r="AD611" s="37" t="n">
        <f aca="false">B611-B610</f>
        <v>0.125</v>
      </c>
    </row>
    <row r="612" customFormat="false" ht="15" hidden="false" customHeight="false" outlineLevel="0" collapsed="false">
      <c r="A612" s="33" t="n">
        <v>609</v>
      </c>
      <c r="B612" s="34" t="n">
        <f aca="false">Summary!$B$5+IF(D612=1,0,IF(C612=1,Summary!$B$6,NA()))+(MATCH(1,E612:L612,0)-1)*Summary!$B$7+(MATCH(1,M612:T612,0)-1)*Summary!$B$8+(MATCH(1,U612:AB612,0)-1)*Summary!$B$9</f>
        <v>106.125</v>
      </c>
      <c r="C612" s="35" t="n">
        <v>1</v>
      </c>
      <c r="D612" s="35" t="n">
        <v>0</v>
      </c>
      <c r="E612" s="35" t="n">
        <v>0</v>
      </c>
      <c r="F612" s="35" t="n">
        <v>0</v>
      </c>
      <c r="G612" s="35" t="n">
        <v>0</v>
      </c>
      <c r="H612" s="35" t="n">
        <v>0</v>
      </c>
      <c r="I612" s="35" t="n">
        <v>0</v>
      </c>
      <c r="J612" s="35" t="n">
        <v>1</v>
      </c>
      <c r="K612" s="35" t="n">
        <v>0</v>
      </c>
      <c r="L612" s="35" t="n">
        <v>0</v>
      </c>
      <c r="M612" s="35" t="n">
        <v>0</v>
      </c>
      <c r="N612" s="35" t="n">
        <v>0</v>
      </c>
      <c r="O612" s="35" t="n">
        <v>0</v>
      </c>
      <c r="P612" s="35" t="n">
        <v>0</v>
      </c>
      <c r="Q612" s="35" t="n">
        <v>1</v>
      </c>
      <c r="R612" s="35" t="n">
        <v>0</v>
      </c>
      <c r="S612" s="35" t="n">
        <v>0</v>
      </c>
      <c r="T612" s="35" t="n">
        <v>0</v>
      </c>
      <c r="U612" s="35" t="n">
        <v>0</v>
      </c>
      <c r="V612" s="35" t="n">
        <v>1</v>
      </c>
      <c r="W612" s="35" t="n">
        <v>0</v>
      </c>
      <c r="X612" s="35" t="n">
        <v>0</v>
      </c>
      <c r="Y612" s="35" t="n">
        <v>0</v>
      </c>
      <c r="Z612" s="35" t="n">
        <v>0</v>
      </c>
      <c r="AA612" s="35" t="n">
        <v>0</v>
      </c>
      <c r="AB612" s="35" t="n">
        <v>0</v>
      </c>
      <c r="AC612" s="33" t="s">
        <v>713</v>
      </c>
      <c r="AD612" s="36" t="n">
        <f aca="false">B612-B611</f>
        <v>0.125</v>
      </c>
    </row>
    <row r="613" customFormat="false" ht="15" hidden="false" customHeight="false" outlineLevel="0" collapsed="false">
      <c r="A613" s="30" t="n">
        <v>610</v>
      </c>
      <c r="B613" s="31" t="n">
        <f aca="false">Summary!$B$5+IF(D613=1,0,IF(C613=1,Summary!$B$6,NA()))+(MATCH(1,E613:L613,0)-1)*Summary!$B$7+(MATCH(1,M613:T613,0)-1)*Summary!$B$8+(MATCH(1,U613:AB613,0)-1)*Summary!$B$9</f>
        <v>106.25</v>
      </c>
      <c r="C613" s="32" t="n">
        <v>1</v>
      </c>
      <c r="D613" s="32" t="n">
        <v>0</v>
      </c>
      <c r="E613" s="32" t="n">
        <v>0</v>
      </c>
      <c r="F613" s="32" t="n">
        <v>0</v>
      </c>
      <c r="G613" s="32" t="n">
        <v>0</v>
      </c>
      <c r="H613" s="32" t="n">
        <v>0</v>
      </c>
      <c r="I613" s="32" t="n">
        <v>0</v>
      </c>
      <c r="J613" s="32" t="n">
        <v>1</v>
      </c>
      <c r="K613" s="32" t="n">
        <v>0</v>
      </c>
      <c r="L613" s="32" t="n">
        <v>0</v>
      </c>
      <c r="M613" s="32" t="n">
        <v>0</v>
      </c>
      <c r="N613" s="32" t="n">
        <v>0</v>
      </c>
      <c r="O613" s="32" t="n">
        <v>0</v>
      </c>
      <c r="P613" s="32" t="n">
        <v>0</v>
      </c>
      <c r="Q613" s="32" t="n">
        <v>1</v>
      </c>
      <c r="R613" s="32" t="n">
        <v>0</v>
      </c>
      <c r="S613" s="32" t="n">
        <v>0</v>
      </c>
      <c r="T613" s="32" t="n">
        <v>0</v>
      </c>
      <c r="U613" s="32" t="n">
        <v>0</v>
      </c>
      <c r="V613" s="32" t="n">
        <v>0</v>
      </c>
      <c r="W613" s="32" t="n">
        <v>1</v>
      </c>
      <c r="X613" s="32" t="n">
        <v>0</v>
      </c>
      <c r="Y613" s="32" t="n">
        <v>0</v>
      </c>
      <c r="Z613" s="32" t="n">
        <v>0</v>
      </c>
      <c r="AA613" s="32" t="n">
        <v>0</v>
      </c>
      <c r="AB613" s="32" t="n">
        <v>0</v>
      </c>
      <c r="AC613" s="30" t="s">
        <v>714</v>
      </c>
      <c r="AD613" s="37" t="n">
        <f aca="false">B613-B612</f>
        <v>0.125</v>
      </c>
    </row>
    <row r="614" customFormat="false" ht="15" hidden="false" customHeight="false" outlineLevel="0" collapsed="false">
      <c r="A614" s="33" t="n">
        <v>611</v>
      </c>
      <c r="B614" s="34" t="n">
        <f aca="false">Summary!$B$5+IF(D614=1,0,IF(C614=1,Summary!$B$6,NA()))+(MATCH(1,E614:L614,0)-1)*Summary!$B$7+(MATCH(1,M614:T614,0)-1)*Summary!$B$8+(MATCH(1,U614:AB614,0)-1)*Summary!$B$9</f>
        <v>106.375</v>
      </c>
      <c r="C614" s="35" t="n">
        <v>1</v>
      </c>
      <c r="D614" s="35" t="n">
        <v>0</v>
      </c>
      <c r="E614" s="35" t="n">
        <v>0</v>
      </c>
      <c r="F614" s="35" t="n">
        <v>0</v>
      </c>
      <c r="G614" s="35" t="n">
        <v>0</v>
      </c>
      <c r="H614" s="35" t="n">
        <v>0</v>
      </c>
      <c r="I614" s="35" t="n">
        <v>0</v>
      </c>
      <c r="J614" s="35" t="n">
        <v>1</v>
      </c>
      <c r="K614" s="35" t="n">
        <v>0</v>
      </c>
      <c r="L614" s="35" t="n">
        <v>0</v>
      </c>
      <c r="M614" s="35" t="n">
        <v>0</v>
      </c>
      <c r="N614" s="35" t="n">
        <v>0</v>
      </c>
      <c r="O614" s="35" t="n">
        <v>0</v>
      </c>
      <c r="P614" s="35" t="n">
        <v>0</v>
      </c>
      <c r="Q614" s="35" t="n">
        <v>1</v>
      </c>
      <c r="R614" s="35" t="n">
        <v>0</v>
      </c>
      <c r="S614" s="35" t="n">
        <v>0</v>
      </c>
      <c r="T614" s="35" t="n">
        <v>0</v>
      </c>
      <c r="U614" s="35" t="n">
        <v>0</v>
      </c>
      <c r="V614" s="35" t="n">
        <v>0</v>
      </c>
      <c r="W614" s="35" t="n">
        <v>0</v>
      </c>
      <c r="X614" s="35" t="n">
        <v>1</v>
      </c>
      <c r="Y614" s="35" t="n">
        <v>0</v>
      </c>
      <c r="Z614" s="35" t="n">
        <v>0</v>
      </c>
      <c r="AA614" s="35" t="n">
        <v>0</v>
      </c>
      <c r="AB614" s="35" t="n">
        <v>0</v>
      </c>
      <c r="AC614" s="33" t="s">
        <v>715</v>
      </c>
      <c r="AD614" s="36" t="n">
        <f aca="false">B614-B613</f>
        <v>0.125</v>
      </c>
    </row>
    <row r="615" customFormat="false" ht="15" hidden="false" customHeight="false" outlineLevel="0" collapsed="false">
      <c r="A615" s="30" t="n">
        <v>612</v>
      </c>
      <c r="B615" s="31" t="n">
        <f aca="false">Summary!$B$5+IF(D615=1,0,IF(C615=1,Summary!$B$6,NA()))+(MATCH(1,E615:L615,0)-1)*Summary!$B$7+(MATCH(1,M615:T615,0)-1)*Summary!$B$8+(MATCH(1,U615:AB615,0)-1)*Summary!$B$9</f>
        <v>106.5</v>
      </c>
      <c r="C615" s="32" t="n">
        <v>1</v>
      </c>
      <c r="D615" s="32" t="n">
        <v>0</v>
      </c>
      <c r="E615" s="32" t="n">
        <v>0</v>
      </c>
      <c r="F615" s="32" t="n">
        <v>0</v>
      </c>
      <c r="G615" s="32" t="n">
        <v>0</v>
      </c>
      <c r="H615" s="32" t="n">
        <v>0</v>
      </c>
      <c r="I615" s="32" t="n">
        <v>0</v>
      </c>
      <c r="J615" s="32" t="n">
        <v>1</v>
      </c>
      <c r="K615" s="32" t="n">
        <v>0</v>
      </c>
      <c r="L615" s="32" t="n">
        <v>0</v>
      </c>
      <c r="M615" s="32" t="n">
        <v>0</v>
      </c>
      <c r="N615" s="32" t="n">
        <v>0</v>
      </c>
      <c r="O615" s="32" t="n">
        <v>0</v>
      </c>
      <c r="P615" s="32" t="n">
        <v>0</v>
      </c>
      <c r="Q615" s="32" t="n">
        <v>1</v>
      </c>
      <c r="R615" s="32" t="n">
        <v>0</v>
      </c>
      <c r="S615" s="32" t="n">
        <v>0</v>
      </c>
      <c r="T615" s="32" t="n">
        <v>0</v>
      </c>
      <c r="U615" s="32" t="n">
        <v>0</v>
      </c>
      <c r="V615" s="32" t="n">
        <v>0</v>
      </c>
      <c r="W615" s="32" t="n">
        <v>0</v>
      </c>
      <c r="X615" s="32" t="n">
        <v>0</v>
      </c>
      <c r="Y615" s="32" t="n">
        <v>1</v>
      </c>
      <c r="Z615" s="32" t="n">
        <v>0</v>
      </c>
      <c r="AA615" s="32" t="n">
        <v>0</v>
      </c>
      <c r="AB615" s="32" t="n">
        <v>0</v>
      </c>
      <c r="AC615" s="30" t="s">
        <v>716</v>
      </c>
      <c r="AD615" s="37" t="n">
        <f aca="false">B615-B614</f>
        <v>0.125</v>
      </c>
    </row>
    <row r="616" customFormat="false" ht="15" hidden="false" customHeight="false" outlineLevel="0" collapsed="false">
      <c r="A616" s="33" t="n">
        <v>613</v>
      </c>
      <c r="B616" s="34" t="n">
        <f aca="false">Summary!$B$5+IF(D616=1,0,IF(C616=1,Summary!$B$6,NA()))+(MATCH(1,E616:L616,0)-1)*Summary!$B$7+(MATCH(1,M616:T616,0)-1)*Summary!$B$8+(MATCH(1,U616:AB616,0)-1)*Summary!$B$9</f>
        <v>106.625</v>
      </c>
      <c r="C616" s="35" t="n">
        <v>1</v>
      </c>
      <c r="D616" s="35" t="n">
        <v>0</v>
      </c>
      <c r="E616" s="35" t="n">
        <v>0</v>
      </c>
      <c r="F616" s="35" t="n">
        <v>0</v>
      </c>
      <c r="G616" s="35" t="n">
        <v>0</v>
      </c>
      <c r="H616" s="35" t="n">
        <v>0</v>
      </c>
      <c r="I616" s="35" t="n">
        <v>0</v>
      </c>
      <c r="J616" s="35" t="n">
        <v>1</v>
      </c>
      <c r="K616" s="35" t="n">
        <v>0</v>
      </c>
      <c r="L616" s="35" t="n">
        <v>0</v>
      </c>
      <c r="M616" s="35" t="n">
        <v>0</v>
      </c>
      <c r="N616" s="35" t="n">
        <v>0</v>
      </c>
      <c r="O616" s="35" t="n">
        <v>0</v>
      </c>
      <c r="P616" s="35" t="n">
        <v>0</v>
      </c>
      <c r="Q616" s="35" t="n">
        <v>1</v>
      </c>
      <c r="R616" s="35" t="n">
        <v>0</v>
      </c>
      <c r="S616" s="35" t="n">
        <v>0</v>
      </c>
      <c r="T616" s="35" t="n">
        <v>0</v>
      </c>
      <c r="U616" s="35" t="n">
        <v>0</v>
      </c>
      <c r="V616" s="35" t="n">
        <v>0</v>
      </c>
      <c r="W616" s="35" t="n">
        <v>0</v>
      </c>
      <c r="X616" s="35" t="n">
        <v>0</v>
      </c>
      <c r="Y616" s="35" t="n">
        <v>0</v>
      </c>
      <c r="Z616" s="35" t="n">
        <v>1</v>
      </c>
      <c r="AA616" s="35" t="n">
        <v>0</v>
      </c>
      <c r="AB616" s="35" t="n">
        <v>0</v>
      </c>
      <c r="AC616" s="33" t="s">
        <v>717</v>
      </c>
      <c r="AD616" s="36" t="n">
        <f aca="false">B616-B615</f>
        <v>0.125</v>
      </c>
    </row>
    <row r="617" customFormat="false" ht="15" hidden="false" customHeight="false" outlineLevel="0" collapsed="false">
      <c r="A617" s="30" t="n">
        <v>614</v>
      </c>
      <c r="B617" s="31" t="n">
        <f aca="false">Summary!$B$5+IF(D617=1,0,IF(C617=1,Summary!$B$6,NA()))+(MATCH(1,E617:L617,0)-1)*Summary!$B$7+(MATCH(1,M617:T617,0)-1)*Summary!$B$8+(MATCH(1,U617:AB617,0)-1)*Summary!$B$9</f>
        <v>106.75</v>
      </c>
      <c r="C617" s="32" t="n">
        <v>1</v>
      </c>
      <c r="D617" s="32" t="n">
        <v>0</v>
      </c>
      <c r="E617" s="32" t="n">
        <v>0</v>
      </c>
      <c r="F617" s="32" t="n">
        <v>0</v>
      </c>
      <c r="G617" s="32" t="n">
        <v>0</v>
      </c>
      <c r="H617" s="32" t="n">
        <v>0</v>
      </c>
      <c r="I617" s="32" t="n">
        <v>0</v>
      </c>
      <c r="J617" s="32" t="n">
        <v>1</v>
      </c>
      <c r="K617" s="32" t="n">
        <v>0</v>
      </c>
      <c r="L617" s="32" t="n">
        <v>0</v>
      </c>
      <c r="M617" s="32" t="n">
        <v>0</v>
      </c>
      <c r="N617" s="32" t="n">
        <v>0</v>
      </c>
      <c r="O617" s="32" t="n">
        <v>0</v>
      </c>
      <c r="P617" s="32" t="n">
        <v>0</v>
      </c>
      <c r="Q617" s="32" t="n">
        <v>1</v>
      </c>
      <c r="R617" s="32" t="n">
        <v>0</v>
      </c>
      <c r="S617" s="32" t="n">
        <v>0</v>
      </c>
      <c r="T617" s="32" t="n">
        <v>0</v>
      </c>
      <c r="U617" s="32" t="n">
        <v>0</v>
      </c>
      <c r="V617" s="32" t="n">
        <v>0</v>
      </c>
      <c r="W617" s="32" t="n">
        <v>0</v>
      </c>
      <c r="X617" s="32" t="n">
        <v>0</v>
      </c>
      <c r="Y617" s="32" t="n">
        <v>0</v>
      </c>
      <c r="Z617" s="32" t="n">
        <v>0</v>
      </c>
      <c r="AA617" s="32" t="n">
        <v>1</v>
      </c>
      <c r="AB617" s="32" t="n">
        <v>0</v>
      </c>
      <c r="AC617" s="30" t="s">
        <v>718</v>
      </c>
      <c r="AD617" s="37" t="n">
        <f aca="false">B617-B616</f>
        <v>0.125</v>
      </c>
    </row>
    <row r="618" customFormat="false" ht="15" hidden="false" customHeight="false" outlineLevel="0" collapsed="false">
      <c r="A618" s="33" t="n">
        <v>615</v>
      </c>
      <c r="B618" s="34" t="n">
        <f aca="false">Summary!$B$5+IF(D618=1,0,IF(C618=1,Summary!$B$6,NA()))+(MATCH(1,E618:L618,0)-1)*Summary!$B$7+(MATCH(1,M618:T618,0)-1)*Summary!$B$8+(MATCH(1,U618:AB618,0)-1)*Summary!$B$9</f>
        <v>106.875</v>
      </c>
      <c r="C618" s="35" t="n">
        <v>1</v>
      </c>
      <c r="D618" s="35" t="n">
        <v>0</v>
      </c>
      <c r="E618" s="35" t="n">
        <v>0</v>
      </c>
      <c r="F618" s="35" t="n">
        <v>0</v>
      </c>
      <c r="G618" s="35" t="n">
        <v>0</v>
      </c>
      <c r="H618" s="35" t="n">
        <v>0</v>
      </c>
      <c r="I618" s="35" t="n">
        <v>0</v>
      </c>
      <c r="J618" s="35" t="n">
        <v>1</v>
      </c>
      <c r="K618" s="35" t="n">
        <v>0</v>
      </c>
      <c r="L618" s="35" t="n">
        <v>0</v>
      </c>
      <c r="M618" s="35" t="n">
        <v>0</v>
      </c>
      <c r="N618" s="35" t="n">
        <v>0</v>
      </c>
      <c r="O618" s="35" t="n">
        <v>0</v>
      </c>
      <c r="P618" s="35" t="n">
        <v>0</v>
      </c>
      <c r="Q618" s="35" t="n">
        <v>1</v>
      </c>
      <c r="R618" s="35" t="n">
        <v>0</v>
      </c>
      <c r="S618" s="35" t="n">
        <v>0</v>
      </c>
      <c r="T618" s="35" t="n">
        <v>0</v>
      </c>
      <c r="U618" s="35" t="n">
        <v>0</v>
      </c>
      <c r="V618" s="35" t="n">
        <v>0</v>
      </c>
      <c r="W618" s="35" t="n">
        <v>0</v>
      </c>
      <c r="X618" s="35" t="n">
        <v>0</v>
      </c>
      <c r="Y618" s="35" t="n">
        <v>0</v>
      </c>
      <c r="Z618" s="35" t="n">
        <v>0</v>
      </c>
      <c r="AA618" s="35" t="n">
        <v>0</v>
      </c>
      <c r="AB618" s="35" t="n">
        <v>1</v>
      </c>
      <c r="AC618" s="33" t="s">
        <v>719</v>
      </c>
      <c r="AD618" s="36" t="n">
        <f aca="false">B618-B617</f>
        <v>0.125</v>
      </c>
    </row>
    <row r="619" customFormat="false" ht="15" hidden="false" customHeight="false" outlineLevel="0" collapsed="false">
      <c r="A619" s="30" t="n">
        <v>616</v>
      </c>
      <c r="B619" s="31" t="n">
        <f aca="false">Summary!$B$5+IF(D619=1,0,IF(C619=1,Summary!$B$6,NA()))+(MATCH(1,E619:L619,0)-1)*Summary!$B$7+(MATCH(1,M619:T619,0)-1)*Summary!$B$8+(MATCH(1,U619:AB619,0)-1)*Summary!$B$9</f>
        <v>107</v>
      </c>
      <c r="C619" s="32" t="n">
        <v>1</v>
      </c>
      <c r="D619" s="32" t="n">
        <v>0</v>
      </c>
      <c r="E619" s="32" t="n">
        <v>0</v>
      </c>
      <c r="F619" s="32" t="n">
        <v>0</v>
      </c>
      <c r="G619" s="32" t="n">
        <v>0</v>
      </c>
      <c r="H619" s="32" t="n">
        <v>0</v>
      </c>
      <c r="I619" s="32" t="n">
        <v>0</v>
      </c>
      <c r="J619" s="32" t="n">
        <v>1</v>
      </c>
      <c r="K619" s="32" t="n">
        <v>0</v>
      </c>
      <c r="L619" s="32" t="n">
        <v>0</v>
      </c>
      <c r="M619" s="32" t="n">
        <v>0</v>
      </c>
      <c r="N619" s="32" t="n">
        <v>0</v>
      </c>
      <c r="O619" s="32" t="n">
        <v>0</v>
      </c>
      <c r="P619" s="32" t="n">
        <v>0</v>
      </c>
      <c r="Q619" s="32" t="n">
        <v>0</v>
      </c>
      <c r="R619" s="32" t="n">
        <v>1</v>
      </c>
      <c r="S619" s="32" t="n">
        <v>0</v>
      </c>
      <c r="T619" s="32" t="n">
        <v>0</v>
      </c>
      <c r="U619" s="32" t="n">
        <v>1</v>
      </c>
      <c r="V619" s="32" t="n">
        <v>0</v>
      </c>
      <c r="W619" s="32" t="n">
        <v>0</v>
      </c>
      <c r="X619" s="32" t="n">
        <v>0</v>
      </c>
      <c r="Y619" s="32" t="n">
        <v>0</v>
      </c>
      <c r="Z619" s="32" t="n">
        <v>0</v>
      </c>
      <c r="AA619" s="32" t="n">
        <v>0</v>
      </c>
      <c r="AB619" s="32" t="n">
        <v>0</v>
      </c>
      <c r="AC619" s="30" t="s">
        <v>720</v>
      </c>
      <c r="AD619" s="37" t="n">
        <f aca="false">B619-B618</f>
        <v>0.125</v>
      </c>
    </row>
    <row r="620" customFormat="false" ht="15" hidden="false" customHeight="false" outlineLevel="0" collapsed="false">
      <c r="A620" s="33" t="n">
        <v>617</v>
      </c>
      <c r="B620" s="34" t="n">
        <f aca="false">Summary!$B$5+IF(D620=1,0,IF(C620=1,Summary!$B$6,NA()))+(MATCH(1,E620:L620,0)-1)*Summary!$B$7+(MATCH(1,M620:T620,0)-1)*Summary!$B$8+(MATCH(1,U620:AB620,0)-1)*Summary!$B$9</f>
        <v>107.125</v>
      </c>
      <c r="C620" s="35" t="n">
        <v>1</v>
      </c>
      <c r="D620" s="35" t="n">
        <v>0</v>
      </c>
      <c r="E620" s="35" t="n">
        <v>0</v>
      </c>
      <c r="F620" s="35" t="n">
        <v>0</v>
      </c>
      <c r="G620" s="35" t="n">
        <v>0</v>
      </c>
      <c r="H620" s="35" t="n">
        <v>0</v>
      </c>
      <c r="I620" s="35" t="n">
        <v>0</v>
      </c>
      <c r="J620" s="35" t="n">
        <v>1</v>
      </c>
      <c r="K620" s="35" t="n">
        <v>0</v>
      </c>
      <c r="L620" s="35" t="n">
        <v>0</v>
      </c>
      <c r="M620" s="35" t="n">
        <v>0</v>
      </c>
      <c r="N620" s="35" t="n">
        <v>0</v>
      </c>
      <c r="O620" s="35" t="n">
        <v>0</v>
      </c>
      <c r="P620" s="35" t="n">
        <v>0</v>
      </c>
      <c r="Q620" s="35" t="n">
        <v>0</v>
      </c>
      <c r="R620" s="35" t="n">
        <v>1</v>
      </c>
      <c r="S620" s="35" t="n">
        <v>0</v>
      </c>
      <c r="T620" s="35" t="n">
        <v>0</v>
      </c>
      <c r="U620" s="35" t="n">
        <v>0</v>
      </c>
      <c r="V620" s="35" t="n">
        <v>1</v>
      </c>
      <c r="W620" s="35" t="n">
        <v>0</v>
      </c>
      <c r="X620" s="35" t="n">
        <v>0</v>
      </c>
      <c r="Y620" s="35" t="n">
        <v>0</v>
      </c>
      <c r="Z620" s="35" t="n">
        <v>0</v>
      </c>
      <c r="AA620" s="35" t="n">
        <v>0</v>
      </c>
      <c r="AB620" s="35" t="n">
        <v>0</v>
      </c>
      <c r="AC620" s="33" t="s">
        <v>721</v>
      </c>
      <c r="AD620" s="36" t="n">
        <f aca="false">B620-B619</f>
        <v>0.125</v>
      </c>
    </row>
    <row r="621" customFormat="false" ht="15" hidden="false" customHeight="false" outlineLevel="0" collapsed="false">
      <c r="A621" s="30" t="n">
        <v>618</v>
      </c>
      <c r="B621" s="31" t="n">
        <f aca="false">Summary!$B$5+IF(D621=1,0,IF(C621=1,Summary!$B$6,NA()))+(MATCH(1,E621:L621,0)-1)*Summary!$B$7+(MATCH(1,M621:T621,0)-1)*Summary!$B$8+(MATCH(1,U621:AB621,0)-1)*Summary!$B$9</f>
        <v>107.25</v>
      </c>
      <c r="C621" s="32" t="n">
        <v>1</v>
      </c>
      <c r="D621" s="32" t="n">
        <v>0</v>
      </c>
      <c r="E621" s="32" t="n">
        <v>0</v>
      </c>
      <c r="F621" s="32" t="n">
        <v>0</v>
      </c>
      <c r="G621" s="32" t="n">
        <v>0</v>
      </c>
      <c r="H621" s="32" t="n">
        <v>0</v>
      </c>
      <c r="I621" s="32" t="n">
        <v>0</v>
      </c>
      <c r="J621" s="32" t="n">
        <v>1</v>
      </c>
      <c r="K621" s="32" t="n">
        <v>0</v>
      </c>
      <c r="L621" s="32" t="n">
        <v>0</v>
      </c>
      <c r="M621" s="32" t="n">
        <v>0</v>
      </c>
      <c r="N621" s="32" t="n">
        <v>0</v>
      </c>
      <c r="O621" s="32" t="n">
        <v>0</v>
      </c>
      <c r="P621" s="32" t="n">
        <v>0</v>
      </c>
      <c r="Q621" s="32" t="n">
        <v>0</v>
      </c>
      <c r="R621" s="32" t="n">
        <v>1</v>
      </c>
      <c r="S621" s="32" t="n">
        <v>0</v>
      </c>
      <c r="T621" s="32" t="n">
        <v>0</v>
      </c>
      <c r="U621" s="32" t="n">
        <v>0</v>
      </c>
      <c r="V621" s="32" t="n">
        <v>0</v>
      </c>
      <c r="W621" s="32" t="n">
        <v>1</v>
      </c>
      <c r="X621" s="32" t="n">
        <v>0</v>
      </c>
      <c r="Y621" s="32" t="n">
        <v>0</v>
      </c>
      <c r="Z621" s="32" t="n">
        <v>0</v>
      </c>
      <c r="AA621" s="32" t="n">
        <v>0</v>
      </c>
      <c r="AB621" s="32" t="n">
        <v>0</v>
      </c>
      <c r="AC621" s="30" t="s">
        <v>722</v>
      </c>
      <c r="AD621" s="37" t="n">
        <f aca="false">B621-B620</f>
        <v>0.125</v>
      </c>
    </row>
    <row r="622" customFormat="false" ht="15" hidden="false" customHeight="false" outlineLevel="0" collapsed="false">
      <c r="A622" s="33" t="n">
        <v>619</v>
      </c>
      <c r="B622" s="34" t="n">
        <f aca="false">Summary!$B$5+IF(D622=1,0,IF(C622=1,Summary!$B$6,NA()))+(MATCH(1,E622:L622,0)-1)*Summary!$B$7+(MATCH(1,M622:T622,0)-1)*Summary!$B$8+(MATCH(1,U622:AB622,0)-1)*Summary!$B$9</f>
        <v>107.375</v>
      </c>
      <c r="C622" s="35" t="n">
        <v>1</v>
      </c>
      <c r="D622" s="35" t="n">
        <v>0</v>
      </c>
      <c r="E622" s="35" t="n">
        <v>0</v>
      </c>
      <c r="F622" s="35" t="n">
        <v>0</v>
      </c>
      <c r="G622" s="35" t="n">
        <v>0</v>
      </c>
      <c r="H622" s="35" t="n">
        <v>0</v>
      </c>
      <c r="I622" s="35" t="n">
        <v>0</v>
      </c>
      <c r="J622" s="35" t="n">
        <v>1</v>
      </c>
      <c r="K622" s="35" t="n">
        <v>0</v>
      </c>
      <c r="L622" s="35" t="n">
        <v>0</v>
      </c>
      <c r="M622" s="35" t="n">
        <v>0</v>
      </c>
      <c r="N622" s="35" t="n">
        <v>0</v>
      </c>
      <c r="O622" s="35" t="n">
        <v>0</v>
      </c>
      <c r="P622" s="35" t="n">
        <v>0</v>
      </c>
      <c r="Q622" s="35" t="n">
        <v>0</v>
      </c>
      <c r="R622" s="35" t="n">
        <v>1</v>
      </c>
      <c r="S622" s="35" t="n">
        <v>0</v>
      </c>
      <c r="T622" s="35" t="n">
        <v>0</v>
      </c>
      <c r="U622" s="35" t="n">
        <v>0</v>
      </c>
      <c r="V622" s="35" t="n">
        <v>0</v>
      </c>
      <c r="W622" s="35" t="n">
        <v>0</v>
      </c>
      <c r="X622" s="35" t="n">
        <v>1</v>
      </c>
      <c r="Y622" s="35" t="n">
        <v>0</v>
      </c>
      <c r="Z622" s="35" t="n">
        <v>0</v>
      </c>
      <c r="AA622" s="35" t="n">
        <v>0</v>
      </c>
      <c r="AB622" s="35" t="n">
        <v>0</v>
      </c>
      <c r="AC622" s="33" t="s">
        <v>723</v>
      </c>
      <c r="AD622" s="36" t="n">
        <f aca="false">B622-B621</f>
        <v>0.125</v>
      </c>
    </row>
    <row r="623" customFormat="false" ht="15" hidden="false" customHeight="false" outlineLevel="0" collapsed="false">
      <c r="A623" s="30" t="n">
        <v>620</v>
      </c>
      <c r="B623" s="31" t="n">
        <f aca="false">Summary!$B$5+IF(D623=1,0,IF(C623=1,Summary!$B$6,NA()))+(MATCH(1,E623:L623,0)-1)*Summary!$B$7+(MATCH(1,M623:T623,0)-1)*Summary!$B$8+(MATCH(1,U623:AB623,0)-1)*Summary!$B$9</f>
        <v>107.5</v>
      </c>
      <c r="C623" s="32" t="n">
        <v>1</v>
      </c>
      <c r="D623" s="32" t="n">
        <v>0</v>
      </c>
      <c r="E623" s="32" t="n">
        <v>0</v>
      </c>
      <c r="F623" s="32" t="n">
        <v>0</v>
      </c>
      <c r="G623" s="32" t="n">
        <v>0</v>
      </c>
      <c r="H623" s="32" t="n">
        <v>0</v>
      </c>
      <c r="I623" s="32" t="n">
        <v>0</v>
      </c>
      <c r="J623" s="32" t="n">
        <v>1</v>
      </c>
      <c r="K623" s="32" t="n">
        <v>0</v>
      </c>
      <c r="L623" s="32" t="n">
        <v>0</v>
      </c>
      <c r="M623" s="32" t="n">
        <v>0</v>
      </c>
      <c r="N623" s="32" t="n">
        <v>0</v>
      </c>
      <c r="O623" s="32" t="n">
        <v>0</v>
      </c>
      <c r="P623" s="32" t="n">
        <v>0</v>
      </c>
      <c r="Q623" s="32" t="n">
        <v>0</v>
      </c>
      <c r="R623" s="32" t="n">
        <v>1</v>
      </c>
      <c r="S623" s="32" t="n">
        <v>0</v>
      </c>
      <c r="T623" s="32" t="n">
        <v>0</v>
      </c>
      <c r="U623" s="32" t="n">
        <v>0</v>
      </c>
      <c r="V623" s="32" t="n">
        <v>0</v>
      </c>
      <c r="W623" s="32" t="n">
        <v>0</v>
      </c>
      <c r="X623" s="32" t="n">
        <v>0</v>
      </c>
      <c r="Y623" s="32" t="n">
        <v>1</v>
      </c>
      <c r="Z623" s="32" t="n">
        <v>0</v>
      </c>
      <c r="AA623" s="32" t="n">
        <v>0</v>
      </c>
      <c r="AB623" s="32" t="n">
        <v>0</v>
      </c>
      <c r="AC623" s="30" t="s">
        <v>724</v>
      </c>
      <c r="AD623" s="37" t="n">
        <f aca="false">B623-B622</f>
        <v>0.125</v>
      </c>
    </row>
    <row r="624" customFormat="false" ht="15" hidden="false" customHeight="false" outlineLevel="0" collapsed="false">
      <c r="A624" s="33" t="n">
        <v>621</v>
      </c>
      <c r="B624" s="34" t="n">
        <f aca="false">Summary!$B$5+IF(D624=1,0,IF(C624=1,Summary!$B$6,NA()))+(MATCH(1,E624:L624,0)-1)*Summary!$B$7+(MATCH(1,M624:T624,0)-1)*Summary!$B$8+(MATCH(1,U624:AB624,0)-1)*Summary!$B$9</f>
        <v>107.625</v>
      </c>
      <c r="C624" s="35" t="n">
        <v>1</v>
      </c>
      <c r="D624" s="35" t="n">
        <v>0</v>
      </c>
      <c r="E624" s="35" t="n">
        <v>0</v>
      </c>
      <c r="F624" s="35" t="n">
        <v>0</v>
      </c>
      <c r="G624" s="35" t="n">
        <v>0</v>
      </c>
      <c r="H624" s="35" t="n">
        <v>0</v>
      </c>
      <c r="I624" s="35" t="n">
        <v>0</v>
      </c>
      <c r="J624" s="35" t="n">
        <v>1</v>
      </c>
      <c r="K624" s="35" t="n">
        <v>0</v>
      </c>
      <c r="L624" s="35" t="n">
        <v>0</v>
      </c>
      <c r="M624" s="35" t="n">
        <v>0</v>
      </c>
      <c r="N624" s="35" t="n">
        <v>0</v>
      </c>
      <c r="O624" s="35" t="n">
        <v>0</v>
      </c>
      <c r="P624" s="35" t="n">
        <v>0</v>
      </c>
      <c r="Q624" s="35" t="n">
        <v>0</v>
      </c>
      <c r="R624" s="35" t="n">
        <v>1</v>
      </c>
      <c r="S624" s="35" t="n">
        <v>0</v>
      </c>
      <c r="T624" s="35" t="n">
        <v>0</v>
      </c>
      <c r="U624" s="35" t="n">
        <v>0</v>
      </c>
      <c r="V624" s="35" t="n">
        <v>0</v>
      </c>
      <c r="W624" s="35" t="n">
        <v>0</v>
      </c>
      <c r="X624" s="35" t="n">
        <v>0</v>
      </c>
      <c r="Y624" s="35" t="n">
        <v>0</v>
      </c>
      <c r="Z624" s="35" t="n">
        <v>1</v>
      </c>
      <c r="AA624" s="35" t="n">
        <v>0</v>
      </c>
      <c r="AB624" s="35" t="n">
        <v>0</v>
      </c>
      <c r="AC624" s="33" t="s">
        <v>725</v>
      </c>
      <c r="AD624" s="36" t="n">
        <f aca="false">B624-B623</f>
        <v>0.125</v>
      </c>
    </row>
    <row r="625" customFormat="false" ht="15" hidden="false" customHeight="false" outlineLevel="0" collapsed="false">
      <c r="A625" s="30" t="n">
        <v>622</v>
      </c>
      <c r="B625" s="31" t="n">
        <f aca="false">Summary!$B$5+IF(D625=1,0,IF(C625=1,Summary!$B$6,NA()))+(MATCH(1,E625:L625,0)-1)*Summary!$B$7+(MATCH(1,M625:T625,0)-1)*Summary!$B$8+(MATCH(1,U625:AB625,0)-1)*Summary!$B$9</f>
        <v>107.75</v>
      </c>
      <c r="C625" s="32" t="n">
        <v>1</v>
      </c>
      <c r="D625" s="32" t="n">
        <v>0</v>
      </c>
      <c r="E625" s="32" t="n">
        <v>0</v>
      </c>
      <c r="F625" s="32" t="n">
        <v>0</v>
      </c>
      <c r="G625" s="32" t="n">
        <v>0</v>
      </c>
      <c r="H625" s="32" t="n">
        <v>0</v>
      </c>
      <c r="I625" s="32" t="n">
        <v>0</v>
      </c>
      <c r="J625" s="32" t="n">
        <v>1</v>
      </c>
      <c r="K625" s="32" t="n">
        <v>0</v>
      </c>
      <c r="L625" s="32" t="n">
        <v>0</v>
      </c>
      <c r="M625" s="32" t="n">
        <v>0</v>
      </c>
      <c r="N625" s="32" t="n">
        <v>0</v>
      </c>
      <c r="O625" s="32" t="n">
        <v>0</v>
      </c>
      <c r="P625" s="32" t="n">
        <v>0</v>
      </c>
      <c r="Q625" s="32" t="n">
        <v>0</v>
      </c>
      <c r="R625" s="32" t="n">
        <v>1</v>
      </c>
      <c r="S625" s="32" t="n">
        <v>0</v>
      </c>
      <c r="T625" s="32" t="n">
        <v>0</v>
      </c>
      <c r="U625" s="32" t="n">
        <v>0</v>
      </c>
      <c r="V625" s="32" t="n">
        <v>0</v>
      </c>
      <c r="W625" s="32" t="n">
        <v>0</v>
      </c>
      <c r="X625" s="32" t="n">
        <v>0</v>
      </c>
      <c r="Y625" s="32" t="n">
        <v>0</v>
      </c>
      <c r="Z625" s="32" t="n">
        <v>0</v>
      </c>
      <c r="AA625" s="32" t="n">
        <v>1</v>
      </c>
      <c r="AB625" s="32" t="n">
        <v>0</v>
      </c>
      <c r="AC625" s="30" t="s">
        <v>726</v>
      </c>
      <c r="AD625" s="37" t="n">
        <f aca="false">B625-B624</f>
        <v>0.125</v>
      </c>
    </row>
    <row r="626" customFormat="false" ht="15" hidden="false" customHeight="false" outlineLevel="0" collapsed="false">
      <c r="A626" s="33" t="n">
        <v>623</v>
      </c>
      <c r="B626" s="34" t="n">
        <f aca="false">Summary!$B$5+IF(D626=1,0,IF(C626=1,Summary!$B$6,NA()))+(MATCH(1,E626:L626,0)-1)*Summary!$B$7+(MATCH(1,M626:T626,0)-1)*Summary!$B$8+(MATCH(1,U626:AB626,0)-1)*Summary!$B$9</f>
        <v>107.875</v>
      </c>
      <c r="C626" s="35" t="n">
        <v>1</v>
      </c>
      <c r="D626" s="35" t="n">
        <v>0</v>
      </c>
      <c r="E626" s="35" t="n">
        <v>0</v>
      </c>
      <c r="F626" s="35" t="n">
        <v>0</v>
      </c>
      <c r="G626" s="35" t="n">
        <v>0</v>
      </c>
      <c r="H626" s="35" t="n">
        <v>0</v>
      </c>
      <c r="I626" s="35" t="n">
        <v>0</v>
      </c>
      <c r="J626" s="35" t="n">
        <v>1</v>
      </c>
      <c r="K626" s="35" t="n">
        <v>0</v>
      </c>
      <c r="L626" s="35" t="n">
        <v>0</v>
      </c>
      <c r="M626" s="35" t="n">
        <v>0</v>
      </c>
      <c r="N626" s="35" t="n">
        <v>0</v>
      </c>
      <c r="O626" s="35" t="n">
        <v>0</v>
      </c>
      <c r="P626" s="35" t="n">
        <v>0</v>
      </c>
      <c r="Q626" s="35" t="n">
        <v>0</v>
      </c>
      <c r="R626" s="35" t="n">
        <v>1</v>
      </c>
      <c r="S626" s="35" t="n">
        <v>0</v>
      </c>
      <c r="T626" s="35" t="n">
        <v>0</v>
      </c>
      <c r="U626" s="35" t="n">
        <v>0</v>
      </c>
      <c r="V626" s="35" t="n">
        <v>0</v>
      </c>
      <c r="W626" s="35" t="n">
        <v>0</v>
      </c>
      <c r="X626" s="35" t="n">
        <v>0</v>
      </c>
      <c r="Y626" s="35" t="n">
        <v>0</v>
      </c>
      <c r="Z626" s="35" t="n">
        <v>0</v>
      </c>
      <c r="AA626" s="35" t="n">
        <v>0</v>
      </c>
      <c r="AB626" s="35" t="n">
        <v>1</v>
      </c>
      <c r="AC626" s="33" t="s">
        <v>727</v>
      </c>
      <c r="AD626" s="36" t="n">
        <f aca="false">B626-B625</f>
        <v>0.125</v>
      </c>
    </row>
    <row r="627" customFormat="false" ht="15" hidden="false" customHeight="false" outlineLevel="0" collapsed="false">
      <c r="A627" s="30" t="n">
        <v>624</v>
      </c>
      <c r="B627" s="31" t="n">
        <f aca="false">Summary!$B$5+IF(D627=1,0,IF(C627=1,Summary!$B$6,NA()))+(MATCH(1,E627:L627,0)-1)*Summary!$B$7+(MATCH(1,M627:T627,0)-1)*Summary!$B$8+(MATCH(1,U627:AB627,0)-1)*Summary!$B$9</f>
        <v>108</v>
      </c>
      <c r="C627" s="32" t="n">
        <v>1</v>
      </c>
      <c r="D627" s="32" t="n">
        <v>0</v>
      </c>
      <c r="E627" s="32" t="n">
        <v>0</v>
      </c>
      <c r="F627" s="32" t="n">
        <v>0</v>
      </c>
      <c r="G627" s="32" t="n">
        <v>0</v>
      </c>
      <c r="H627" s="32" t="n">
        <v>0</v>
      </c>
      <c r="I627" s="32" t="n">
        <v>0</v>
      </c>
      <c r="J627" s="32" t="n">
        <v>1</v>
      </c>
      <c r="K627" s="32" t="n">
        <v>0</v>
      </c>
      <c r="L627" s="32" t="n">
        <v>0</v>
      </c>
      <c r="M627" s="32" t="n">
        <v>0</v>
      </c>
      <c r="N627" s="32" t="n">
        <v>0</v>
      </c>
      <c r="O627" s="32" t="n">
        <v>0</v>
      </c>
      <c r="P627" s="32" t="n">
        <v>0</v>
      </c>
      <c r="Q627" s="32" t="n">
        <v>0</v>
      </c>
      <c r="R627" s="32" t="n">
        <v>0</v>
      </c>
      <c r="S627" s="32" t="n">
        <v>1</v>
      </c>
      <c r="T627" s="32" t="n">
        <v>0</v>
      </c>
      <c r="U627" s="32" t="n">
        <v>1</v>
      </c>
      <c r="V627" s="32" t="n">
        <v>0</v>
      </c>
      <c r="W627" s="32" t="n">
        <v>0</v>
      </c>
      <c r="X627" s="32" t="n">
        <v>0</v>
      </c>
      <c r="Y627" s="32" t="n">
        <v>0</v>
      </c>
      <c r="Z627" s="32" t="n">
        <v>0</v>
      </c>
      <c r="AA627" s="32" t="n">
        <v>0</v>
      </c>
      <c r="AB627" s="32" t="n">
        <v>0</v>
      </c>
      <c r="AC627" s="30" t="s">
        <v>728</v>
      </c>
      <c r="AD627" s="37" t="n">
        <f aca="false">B627-B626</f>
        <v>0.125</v>
      </c>
    </row>
    <row r="628" customFormat="false" ht="15" hidden="false" customHeight="false" outlineLevel="0" collapsed="false">
      <c r="A628" s="33" t="n">
        <v>625</v>
      </c>
      <c r="B628" s="34" t="n">
        <f aca="false">Summary!$B$5+IF(D628=1,0,IF(C628=1,Summary!$B$6,NA()))+(MATCH(1,E628:L628,0)-1)*Summary!$B$7+(MATCH(1,M628:T628,0)-1)*Summary!$B$8+(MATCH(1,U628:AB628,0)-1)*Summary!$B$9</f>
        <v>108.125</v>
      </c>
      <c r="C628" s="35" t="n">
        <v>1</v>
      </c>
      <c r="D628" s="35" t="n">
        <v>0</v>
      </c>
      <c r="E628" s="35" t="n">
        <v>0</v>
      </c>
      <c r="F628" s="35" t="n">
        <v>0</v>
      </c>
      <c r="G628" s="35" t="n">
        <v>0</v>
      </c>
      <c r="H628" s="35" t="n">
        <v>0</v>
      </c>
      <c r="I628" s="35" t="n">
        <v>0</v>
      </c>
      <c r="J628" s="35" t="n">
        <v>1</v>
      </c>
      <c r="K628" s="35" t="n">
        <v>0</v>
      </c>
      <c r="L628" s="35" t="n">
        <v>0</v>
      </c>
      <c r="M628" s="35" t="n">
        <v>0</v>
      </c>
      <c r="N628" s="35" t="n">
        <v>0</v>
      </c>
      <c r="O628" s="35" t="n">
        <v>0</v>
      </c>
      <c r="P628" s="35" t="n">
        <v>0</v>
      </c>
      <c r="Q628" s="35" t="n">
        <v>0</v>
      </c>
      <c r="R628" s="35" t="n">
        <v>0</v>
      </c>
      <c r="S628" s="35" t="n">
        <v>1</v>
      </c>
      <c r="T628" s="35" t="n">
        <v>0</v>
      </c>
      <c r="U628" s="35" t="n">
        <v>0</v>
      </c>
      <c r="V628" s="35" t="n">
        <v>1</v>
      </c>
      <c r="W628" s="35" t="n">
        <v>0</v>
      </c>
      <c r="X628" s="35" t="n">
        <v>0</v>
      </c>
      <c r="Y628" s="35" t="n">
        <v>0</v>
      </c>
      <c r="Z628" s="35" t="n">
        <v>0</v>
      </c>
      <c r="AA628" s="35" t="n">
        <v>0</v>
      </c>
      <c r="AB628" s="35" t="n">
        <v>0</v>
      </c>
      <c r="AC628" s="33" t="s">
        <v>729</v>
      </c>
      <c r="AD628" s="36" t="n">
        <f aca="false">B628-B627</f>
        <v>0.125</v>
      </c>
    </row>
    <row r="629" customFormat="false" ht="15" hidden="false" customHeight="false" outlineLevel="0" collapsed="false">
      <c r="A629" s="30" t="n">
        <v>626</v>
      </c>
      <c r="B629" s="31" t="n">
        <f aca="false">Summary!$B$5+IF(D629=1,0,IF(C629=1,Summary!$B$6,NA()))+(MATCH(1,E629:L629,0)-1)*Summary!$B$7+(MATCH(1,M629:T629,0)-1)*Summary!$B$8+(MATCH(1,U629:AB629,0)-1)*Summary!$B$9</f>
        <v>108.25</v>
      </c>
      <c r="C629" s="32" t="n">
        <v>1</v>
      </c>
      <c r="D629" s="32" t="n">
        <v>0</v>
      </c>
      <c r="E629" s="32" t="n">
        <v>0</v>
      </c>
      <c r="F629" s="32" t="n">
        <v>0</v>
      </c>
      <c r="G629" s="32" t="n">
        <v>0</v>
      </c>
      <c r="H629" s="32" t="n">
        <v>0</v>
      </c>
      <c r="I629" s="32" t="n">
        <v>0</v>
      </c>
      <c r="J629" s="32" t="n">
        <v>1</v>
      </c>
      <c r="K629" s="32" t="n">
        <v>0</v>
      </c>
      <c r="L629" s="32" t="n">
        <v>0</v>
      </c>
      <c r="M629" s="32" t="n">
        <v>0</v>
      </c>
      <c r="N629" s="32" t="n">
        <v>0</v>
      </c>
      <c r="O629" s="32" t="n">
        <v>0</v>
      </c>
      <c r="P629" s="32" t="n">
        <v>0</v>
      </c>
      <c r="Q629" s="32" t="n">
        <v>0</v>
      </c>
      <c r="R629" s="32" t="n">
        <v>0</v>
      </c>
      <c r="S629" s="32" t="n">
        <v>1</v>
      </c>
      <c r="T629" s="32" t="n">
        <v>0</v>
      </c>
      <c r="U629" s="32" t="n">
        <v>0</v>
      </c>
      <c r="V629" s="32" t="n">
        <v>0</v>
      </c>
      <c r="W629" s="32" t="n">
        <v>1</v>
      </c>
      <c r="X629" s="32" t="n">
        <v>0</v>
      </c>
      <c r="Y629" s="32" t="n">
        <v>0</v>
      </c>
      <c r="Z629" s="32" t="n">
        <v>0</v>
      </c>
      <c r="AA629" s="32" t="n">
        <v>0</v>
      </c>
      <c r="AB629" s="32" t="n">
        <v>0</v>
      </c>
      <c r="AC629" s="30" t="s">
        <v>730</v>
      </c>
      <c r="AD629" s="37" t="n">
        <f aca="false">B629-B628</f>
        <v>0.125</v>
      </c>
    </row>
    <row r="630" customFormat="false" ht="15" hidden="false" customHeight="false" outlineLevel="0" collapsed="false">
      <c r="A630" s="33" t="n">
        <v>627</v>
      </c>
      <c r="B630" s="34" t="n">
        <f aca="false">Summary!$B$5+IF(D630=1,0,IF(C630=1,Summary!$B$6,NA()))+(MATCH(1,E630:L630,0)-1)*Summary!$B$7+(MATCH(1,M630:T630,0)-1)*Summary!$B$8+(MATCH(1,U630:AB630,0)-1)*Summary!$B$9</f>
        <v>108.375</v>
      </c>
      <c r="C630" s="35" t="n">
        <v>1</v>
      </c>
      <c r="D630" s="35" t="n">
        <v>0</v>
      </c>
      <c r="E630" s="35" t="n">
        <v>0</v>
      </c>
      <c r="F630" s="35" t="n">
        <v>0</v>
      </c>
      <c r="G630" s="35" t="n">
        <v>0</v>
      </c>
      <c r="H630" s="35" t="n">
        <v>0</v>
      </c>
      <c r="I630" s="35" t="n">
        <v>0</v>
      </c>
      <c r="J630" s="35" t="n">
        <v>1</v>
      </c>
      <c r="K630" s="35" t="n">
        <v>0</v>
      </c>
      <c r="L630" s="35" t="n">
        <v>0</v>
      </c>
      <c r="M630" s="35" t="n">
        <v>0</v>
      </c>
      <c r="N630" s="35" t="n">
        <v>0</v>
      </c>
      <c r="O630" s="35" t="n">
        <v>0</v>
      </c>
      <c r="P630" s="35" t="n">
        <v>0</v>
      </c>
      <c r="Q630" s="35" t="n">
        <v>0</v>
      </c>
      <c r="R630" s="35" t="n">
        <v>0</v>
      </c>
      <c r="S630" s="35" t="n">
        <v>1</v>
      </c>
      <c r="T630" s="35" t="n">
        <v>0</v>
      </c>
      <c r="U630" s="35" t="n">
        <v>0</v>
      </c>
      <c r="V630" s="35" t="n">
        <v>0</v>
      </c>
      <c r="W630" s="35" t="n">
        <v>0</v>
      </c>
      <c r="X630" s="35" t="n">
        <v>1</v>
      </c>
      <c r="Y630" s="35" t="n">
        <v>0</v>
      </c>
      <c r="Z630" s="35" t="n">
        <v>0</v>
      </c>
      <c r="AA630" s="35" t="n">
        <v>0</v>
      </c>
      <c r="AB630" s="35" t="n">
        <v>0</v>
      </c>
      <c r="AC630" s="33" t="s">
        <v>731</v>
      </c>
      <c r="AD630" s="36" t="n">
        <f aca="false">B630-B629</f>
        <v>0.125</v>
      </c>
    </row>
    <row r="631" customFormat="false" ht="15" hidden="false" customHeight="false" outlineLevel="0" collapsed="false">
      <c r="A631" s="30" t="n">
        <v>628</v>
      </c>
      <c r="B631" s="31" t="n">
        <f aca="false">Summary!$B$5+IF(D631=1,0,IF(C631=1,Summary!$B$6,NA()))+(MATCH(1,E631:L631,0)-1)*Summary!$B$7+(MATCH(1,M631:T631,0)-1)*Summary!$B$8+(MATCH(1,U631:AB631,0)-1)*Summary!$B$9</f>
        <v>108.5</v>
      </c>
      <c r="C631" s="32" t="n">
        <v>1</v>
      </c>
      <c r="D631" s="32" t="n">
        <v>0</v>
      </c>
      <c r="E631" s="32" t="n">
        <v>0</v>
      </c>
      <c r="F631" s="32" t="n">
        <v>0</v>
      </c>
      <c r="G631" s="32" t="n">
        <v>0</v>
      </c>
      <c r="H631" s="32" t="n">
        <v>0</v>
      </c>
      <c r="I631" s="32" t="n">
        <v>0</v>
      </c>
      <c r="J631" s="32" t="n">
        <v>1</v>
      </c>
      <c r="K631" s="32" t="n">
        <v>0</v>
      </c>
      <c r="L631" s="32" t="n">
        <v>0</v>
      </c>
      <c r="M631" s="32" t="n">
        <v>0</v>
      </c>
      <c r="N631" s="32" t="n">
        <v>0</v>
      </c>
      <c r="O631" s="32" t="n">
        <v>0</v>
      </c>
      <c r="P631" s="32" t="n">
        <v>0</v>
      </c>
      <c r="Q631" s="32" t="n">
        <v>0</v>
      </c>
      <c r="R631" s="32" t="n">
        <v>0</v>
      </c>
      <c r="S631" s="32" t="n">
        <v>1</v>
      </c>
      <c r="T631" s="32" t="n">
        <v>0</v>
      </c>
      <c r="U631" s="32" t="n">
        <v>0</v>
      </c>
      <c r="V631" s="32" t="n">
        <v>0</v>
      </c>
      <c r="W631" s="32" t="n">
        <v>0</v>
      </c>
      <c r="X631" s="32" t="n">
        <v>0</v>
      </c>
      <c r="Y631" s="32" t="n">
        <v>1</v>
      </c>
      <c r="Z631" s="32" t="n">
        <v>0</v>
      </c>
      <c r="AA631" s="32" t="n">
        <v>0</v>
      </c>
      <c r="AB631" s="32" t="n">
        <v>0</v>
      </c>
      <c r="AC631" s="30" t="s">
        <v>732</v>
      </c>
      <c r="AD631" s="37" t="n">
        <f aca="false">B631-B630</f>
        <v>0.125</v>
      </c>
    </row>
    <row r="632" customFormat="false" ht="15" hidden="false" customHeight="false" outlineLevel="0" collapsed="false">
      <c r="A632" s="33" t="n">
        <v>629</v>
      </c>
      <c r="B632" s="34" t="n">
        <f aca="false">Summary!$B$5+IF(D632=1,0,IF(C632=1,Summary!$B$6,NA()))+(MATCH(1,E632:L632,0)-1)*Summary!$B$7+(MATCH(1,M632:T632,0)-1)*Summary!$B$8+(MATCH(1,U632:AB632,0)-1)*Summary!$B$9</f>
        <v>108.625</v>
      </c>
      <c r="C632" s="35" t="n">
        <v>1</v>
      </c>
      <c r="D632" s="35" t="n">
        <v>0</v>
      </c>
      <c r="E632" s="35" t="n">
        <v>0</v>
      </c>
      <c r="F632" s="35" t="n">
        <v>0</v>
      </c>
      <c r="G632" s="35" t="n">
        <v>0</v>
      </c>
      <c r="H632" s="35" t="n">
        <v>0</v>
      </c>
      <c r="I632" s="35" t="n">
        <v>0</v>
      </c>
      <c r="J632" s="35" t="n">
        <v>1</v>
      </c>
      <c r="K632" s="35" t="n">
        <v>0</v>
      </c>
      <c r="L632" s="35" t="n">
        <v>0</v>
      </c>
      <c r="M632" s="35" t="n">
        <v>0</v>
      </c>
      <c r="N632" s="35" t="n">
        <v>0</v>
      </c>
      <c r="O632" s="35" t="n">
        <v>0</v>
      </c>
      <c r="P632" s="35" t="n">
        <v>0</v>
      </c>
      <c r="Q632" s="35" t="n">
        <v>0</v>
      </c>
      <c r="R632" s="35" t="n">
        <v>0</v>
      </c>
      <c r="S632" s="35" t="n">
        <v>1</v>
      </c>
      <c r="T632" s="35" t="n">
        <v>0</v>
      </c>
      <c r="U632" s="35" t="n">
        <v>0</v>
      </c>
      <c r="V632" s="35" t="n">
        <v>0</v>
      </c>
      <c r="W632" s="35" t="n">
        <v>0</v>
      </c>
      <c r="X632" s="35" t="n">
        <v>0</v>
      </c>
      <c r="Y632" s="35" t="n">
        <v>0</v>
      </c>
      <c r="Z632" s="35" t="n">
        <v>1</v>
      </c>
      <c r="AA632" s="35" t="n">
        <v>0</v>
      </c>
      <c r="AB632" s="35" t="n">
        <v>0</v>
      </c>
      <c r="AC632" s="33" t="s">
        <v>733</v>
      </c>
      <c r="AD632" s="36" t="n">
        <f aca="false">B632-B631</f>
        <v>0.125</v>
      </c>
    </row>
    <row r="633" customFormat="false" ht="15" hidden="false" customHeight="false" outlineLevel="0" collapsed="false">
      <c r="A633" s="30" t="n">
        <v>630</v>
      </c>
      <c r="B633" s="31" t="n">
        <f aca="false">Summary!$B$5+IF(D633=1,0,IF(C633=1,Summary!$B$6,NA()))+(MATCH(1,E633:L633,0)-1)*Summary!$B$7+(MATCH(1,M633:T633,0)-1)*Summary!$B$8+(MATCH(1,U633:AB633,0)-1)*Summary!$B$9</f>
        <v>108.75</v>
      </c>
      <c r="C633" s="32" t="n">
        <v>1</v>
      </c>
      <c r="D633" s="32" t="n">
        <v>0</v>
      </c>
      <c r="E633" s="32" t="n">
        <v>0</v>
      </c>
      <c r="F633" s="32" t="n">
        <v>0</v>
      </c>
      <c r="G633" s="32" t="n">
        <v>0</v>
      </c>
      <c r="H633" s="32" t="n">
        <v>0</v>
      </c>
      <c r="I633" s="32" t="n">
        <v>0</v>
      </c>
      <c r="J633" s="32" t="n">
        <v>1</v>
      </c>
      <c r="K633" s="32" t="n">
        <v>0</v>
      </c>
      <c r="L633" s="32" t="n">
        <v>0</v>
      </c>
      <c r="M633" s="32" t="n">
        <v>0</v>
      </c>
      <c r="N633" s="32" t="n">
        <v>0</v>
      </c>
      <c r="O633" s="32" t="n">
        <v>0</v>
      </c>
      <c r="P633" s="32" t="n">
        <v>0</v>
      </c>
      <c r="Q633" s="32" t="n">
        <v>0</v>
      </c>
      <c r="R633" s="32" t="n">
        <v>0</v>
      </c>
      <c r="S633" s="32" t="n">
        <v>1</v>
      </c>
      <c r="T633" s="32" t="n">
        <v>0</v>
      </c>
      <c r="U633" s="32" t="n">
        <v>0</v>
      </c>
      <c r="V633" s="32" t="n">
        <v>0</v>
      </c>
      <c r="W633" s="32" t="n">
        <v>0</v>
      </c>
      <c r="X633" s="32" t="n">
        <v>0</v>
      </c>
      <c r="Y633" s="32" t="n">
        <v>0</v>
      </c>
      <c r="Z633" s="32" t="n">
        <v>0</v>
      </c>
      <c r="AA633" s="32" t="n">
        <v>1</v>
      </c>
      <c r="AB633" s="32" t="n">
        <v>0</v>
      </c>
      <c r="AC633" s="30" t="s">
        <v>734</v>
      </c>
      <c r="AD633" s="37" t="n">
        <f aca="false">B633-B632</f>
        <v>0.125</v>
      </c>
    </row>
    <row r="634" customFormat="false" ht="15" hidden="false" customHeight="false" outlineLevel="0" collapsed="false">
      <c r="A634" s="33" t="n">
        <v>631</v>
      </c>
      <c r="B634" s="34" t="n">
        <f aca="false">Summary!$B$5+IF(D634=1,0,IF(C634=1,Summary!$B$6,NA()))+(MATCH(1,E634:L634,0)-1)*Summary!$B$7+(MATCH(1,M634:T634,0)-1)*Summary!$B$8+(MATCH(1,U634:AB634,0)-1)*Summary!$B$9</f>
        <v>108.875</v>
      </c>
      <c r="C634" s="35" t="n">
        <v>1</v>
      </c>
      <c r="D634" s="35" t="n">
        <v>0</v>
      </c>
      <c r="E634" s="35" t="n">
        <v>0</v>
      </c>
      <c r="F634" s="35" t="n">
        <v>0</v>
      </c>
      <c r="G634" s="35" t="n">
        <v>0</v>
      </c>
      <c r="H634" s="35" t="n">
        <v>0</v>
      </c>
      <c r="I634" s="35" t="n">
        <v>0</v>
      </c>
      <c r="J634" s="35" t="n">
        <v>1</v>
      </c>
      <c r="K634" s="35" t="n">
        <v>0</v>
      </c>
      <c r="L634" s="35" t="n">
        <v>0</v>
      </c>
      <c r="M634" s="35" t="n">
        <v>0</v>
      </c>
      <c r="N634" s="35" t="n">
        <v>0</v>
      </c>
      <c r="O634" s="35" t="n">
        <v>0</v>
      </c>
      <c r="P634" s="35" t="n">
        <v>0</v>
      </c>
      <c r="Q634" s="35" t="n">
        <v>0</v>
      </c>
      <c r="R634" s="35" t="n">
        <v>0</v>
      </c>
      <c r="S634" s="35" t="n">
        <v>1</v>
      </c>
      <c r="T634" s="35" t="n">
        <v>0</v>
      </c>
      <c r="U634" s="35" t="n">
        <v>0</v>
      </c>
      <c r="V634" s="35" t="n">
        <v>0</v>
      </c>
      <c r="W634" s="35" t="n">
        <v>0</v>
      </c>
      <c r="X634" s="35" t="n">
        <v>0</v>
      </c>
      <c r="Y634" s="35" t="n">
        <v>0</v>
      </c>
      <c r="Z634" s="35" t="n">
        <v>0</v>
      </c>
      <c r="AA634" s="35" t="n">
        <v>0</v>
      </c>
      <c r="AB634" s="35" t="n">
        <v>1</v>
      </c>
      <c r="AC634" s="33" t="s">
        <v>735</v>
      </c>
      <c r="AD634" s="36" t="n">
        <f aca="false">B634-B633</f>
        <v>0.125</v>
      </c>
    </row>
    <row r="635" customFormat="false" ht="15" hidden="false" customHeight="false" outlineLevel="0" collapsed="false">
      <c r="A635" s="30" t="n">
        <v>632</v>
      </c>
      <c r="B635" s="31" t="n">
        <f aca="false">Summary!$B$5+IF(D635=1,0,IF(C635=1,Summary!$B$6,NA()))+(MATCH(1,E635:L635,0)-1)*Summary!$B$7+(MATCH(1,M635:T635,0)-1)*Summary!$B$8+(MATCH(1,U635:AB635,0)-1)*Summary!$B$9</f>
        <v>109</v>
      </c>
      <c r="C635" s="32" t="n">
        <v>1</v>
      </c>
      <c r="D635" s="32" t="n">
        <v>0</v>
      </c>
      <c r="E635" s="32" t="n">
        <v>0</v>
      </c>
      <c r="F635" s="32" t="n">
        <v>0</v>
      </c>
      <c r="G635" s="32" t="n">
        <v>0</v>
      </c>
      <c r="H635" s="32" t="n">
        <v>0</v>
      </c>
      <c r="I635" s="32" t="n">
        <v>0</v>
      </c>
      <c r="J635" s="32" t="n">
        <v>1</v>
      </c>
      <c r="K635" s="32" t="n">
        <v>0</v>
      </c>
      <c r="L635" s="32" t="n">
        <v>0</v>
      </c>
      <c r="M635" s="32" t="n">
        <v>0</v>
      </c>
      <c r="N635" s="32" t="n">
        <v>0</v>
      </c>
      <c r="O635" s="32" t="n">
        <v>0</v>
      </c>
      <c r="P635" s="32" t="n">
        <v>0</v>
      </c>
      <c r="Q635" s="32" t="n">
        <v>0</v>
      </c>
      <c r="R635" s="32" t="n">
        <v>0</v>
      </c>
      <c r="S635" s="32" t="n">
        <v>0</v>
      </c>
      <c r="T635" s="32" t="n">
        <v>1</v>
      </c>
      <c r="U635" s="32" t="n">
        <v>1</v>
      </c>
      <c r="V635" s="32" t="n">
        <v>0</v>
      </c>
      <c r="W635" s="32" t="n">
        <v>0</v>
      </c>
      <c r="X635" s="32" t="n">
        <v>0</v>
      </c>
      <c r="Y635" s="32" t="n">
        <v>0</v>
      </c>
      <c r="Z635" s="32" t="n">
        <v>0</v>
      </c>
      <c r="AA635" s="32" t="n">
        <v>0</v>
      </c>
      <c r="AB635" s="32" t="n">
        <v>0</v>
      </c>
      <c r="AC635" s="30" t="s">
        <v>736</v>
      </c>
      <c r="AD635" s="37" t="n">
        <f aca="false">B635-B634</f>
        <v>0.125</v>
      </c>
    </row>
    <row r="636" customFormat="false" ht="15" hidden="false" customHeight="false" outlineLevel="0" collapsed="false">
      <c r="A636" s="33" t="n">
        <v>633</v>
      </c>
      <c r="B636" s="34" t="n">
        <f aca="false">Summary!$B$5+IF(D636=1,0,IF(C636=1,Summary!$B$6,NA()))+(MATCH(1,E636:L636,0)-1)*Summary!$B$7+(MATCH(1,M636:T636,0)-1)*Summary!$B$8+(MATCH(1,U636:AB636,0)-1)*Summary!$B$9</f>
        <v>109.125</v>
      </c>
      <c r="C636" s="35" t="n">
        <v>1</v>
      </c>
      <c r="D636" s="35" t="n">
        <v>0</v>
      </c>
      <c r="E636" s="35" t="n">
        <v>0</v>
      </c>
      <c r="F636" s="35" t="n">
        <v>0</v>
      </c>
      <c r="G636" s="35" t="n">
        <v>0</v>
      </c>
      <c r="H636" s="35" t="n">
        <v>0</v>
      </c>
      <c r="I636" s="35" t="n">
        <v>0</v>
      </c>
      <c r="J636" s="35" t="n">
        <v>1</v>
      </c>
      <c r="K636" s="35" t="n">
        <v>0</v>
      </c>
      <c r="L636" s="35" t="n">
        <v>0</v>
      </c>
      <c r="M636" s="35" t="n">
        <v>0</v>
      </c>
      <c r="N636" s="35" t="n">
        <v>0</v>
      </c>
      <c r="O636" s="35" t="n">
        <v>0</v>
      </c>
      <c r="P636" s="35" t="n">
        <v>0</v>
      </c>
      <c r="Q636" s="35" t="n">
        <v>0</v>
      </c>
      <c r="R636" s="35" t="n">
        <v>0</v>
      </c>
      <c r="S636" s="35" t="n">
        <v>0</v>
      </c>
      <c r="T636" s="35" t="n">
        <v>1</v>
      </c>
      <c r="U636" s="35" t="n">
        <v>0</v>
      </c>
      <c r="V636" s="35" t="n">
        <v>1</v>
      </c>
      <c r="W636" s="35" t="n">
        <v>0</v>
      </c>
      <c r="X636" s="35" t="n">
        <v>0</v>
      </c>
      <c r="Y636" s="35" t="n">
        <v>0</v>
      </c>
      <c r="Z636" s="35" t="n">
        <v>0</v>
      </c>
      <c r="AA636" s="35" t="n">
        <v>0</v>
      </c>
      <c r="AB636" s="35" t="n">
        <v>0</v>
      </c>
      <c r="AC636" s="33" t="s">
        <v>737</v>
      </c>
      <c r="AD636" s="36" t="n">
        <f aca="false">B636-B635</f>
        <v>0.125</v>
      </c>
    </row>
    <row r="637" customFormat="false" ht="15" hidden="false" customHeight="false" outlineLevel="0" collapsed="false">
      <c r="A637" s="30" t="n">
        <v>634</v>
      </c>
      <c r="B637" s="31" t="n">
        <f aca="false">Summary!$B$5+IF(D637=1,0,IF(C637=1,Summary!$B$6,NA()))+(MATCH(1,E637:L637,0)-1)*Summary!$B$7+(MATCH(1,M637:T637,0)-1)*Summary!$B$8+(MATCH(1,U637:AB637,0)-1)*Summary!$B$9</f>
        <v>109.25</v>
      </c>
      <c r="C637" s="32" t="n">
        <v>1</v>
      </c>
      <c r="D637" s="32" t="n">
        <v>0</v>
      </c>
      <c r="E637" s="32" t="n">
        <v>0</v>
      </c>
      <c r="F637" s="32" t="n">
        <v>0</v>
      </c>
      <c r="G637" s="32" t="n">
        <v>0</v>
      </c>
      <c r="H637" s="32" t="n">
        <v>0</v>
      </c>
      <c r="I637" s="32" t="n">
        <v>0</v>
      </c>
      <c r="J637" s="32" t="n">
        <v>1</v>
      </c>
      <c r="K637" s="32" t="n">
        <v>0</v>
      </c>
      <c r="L637" s="32" t="n">
        <v>0</v>
      </c>
      <c r="M637" s="32" t="n">
        <v>0</v>
      </c>
      <c r="N637" s="32" t="n">
        <v>0</v>
      </c>
      <c r="O637" s="32" t="n">
        <v>0</v>
      </c>
      <c r="P637" s="32" t="n">
        <v>0</v>
      </c>
      <c r="Q637" s="32" t="n">
        <v>0</v>
      </c>
      <c r="R637" s="32" t="n">
        <v>0</v>
      </c>
      <c r="S637" s="32" t="n">
        <v>0</v>
      </c>
      <c r="T637" s="32" t="n">
        <v>1</v>
      </c>
      <c r="U637" s="32" t="n">
        <v>0</v>
      </c>
      <c r="V637" s="32" t="n">
        <v>0</v>
      </c>
      <c r="W637" s="32" t="n">
        <v>1</v>
      </c>
      <c r="X637" s="32" t="n">
        <v>0</v>
      </c>
      <c r="Y637" s="32" t="n">
        <v>0</v>
      </c>
      <c r="Z637" s="32" t="n">
        <v>0</v>
      </c>
      <c r="AA637" s="32" t="n">
        <v>0</v>
      </c>
      <c r="AB637" s="32" t="n">
        <v>0</v>
      </c>
      <c r="AC637" s="30" t="s">
        <v>738</v>
      </c>
      <c r="AD637" s="37" t="n">
        <f aca="false">B637-B636</f>
        <v>0.125</v>
      </c>
    </row>
    <row r="638" customFormat="false" ht="15" hidden="false" customHeight="false" outlineLevel="0" collapsed="false">
      <c r="A638" s="33" t="n">
        <v>635</v>
      </c>
      <c r="B638" s="34" t="n">
        <f aca="false">Summary!$B$5+IF(D638=1,0,IF(C638=1,Summary!$B$6,NA()))+(MATCH(1,E638:L638,0)-1)*Summary!$B$7+(MATCH(1,M638:T638,0)-1)*Summary!$B$8+(MATCH(1,U638:AB638,0)-1)*Summary!$B$9</f>
        <v>109.375</v>
      </c>
      <c r="C638" s="35" t="n">
        <v>1</v>
      </c>
      <c r="D638" s="35" t="n">
        <v>0</v>
      </c>
      <c r="E638" s="35" t="n">
        <v>0</v>
      </c>
      <c r="F638" s="35" t="n">
        <v>0</v>
      </c>
      <c r="G638" s="35" t="n">
        <v>0</v>
      </c>
      <c r="H638" s="35" t="n">
        <v>0</v>
      </c>
      <c r="I638" s="35" t="n">
        <v>0</v>
      </c>
      <c r="J638" s="35" t="n">
        <v>1</v>
      </c>
      <c r="K638" s="35" t="n">
        <v>0</v>
      </c>
      <c r="L638" s="35" t="n">
        <v>0</v>
      </c>
      <c r="M638" s="35" t="n">
        <v>0</v>
      </c>
      <c r="N638" s="35" t="n">
        <v>0</v>
      </c>
      <c r="O638" s="35" t="n">
        <v>0</v>
      </c>
      <c r="P638" s="35" t="n">
        <v>0</v>
      </c>
      <c r="Q638" s="35" t="n">
        <v>0</v>
      </c>
      <c r="R638" s="35" t="n">
        <v>0</v>
      </c>
      <c r="S638" s="35" t="n">
        <v>0</v>
      </c>
      <c r="T638" s="35" t="n">
        <v>1</v>
      </c>
      <c r="U638" s="35" t="n">
        <v>0</v>
      </c>
      <c r="V638" s="35" t="n">
        <v>0</v>
      </c>
      <c r="W638" s="35" t="n">
        <v>0</v>
      </c>
      <c r="X638" s="35" t="n">
        <v>1</v>
      </c>
      <c r="Y638" s="35" t="n">
        <v>0</v>
      </c>
      <c r="Z638" s="35" t="n">
        <v>0</v>
      </c>
      <c r="AA638" s="35" t="n">
        <v>0</v>
      </c>
      <c r="AB638" s="35" t="n">
        <v>0</v>
      </c>
      <c r="AC638" s="33" t="s">
        <v>739</v>
      </c>
      <c r="AD638" s="36" t="n">
        <f aca="false">B638-B637</f>
        <v>0.125</v>
      </c>
    </row>
    <row r="639" customFormat="false" ht="15" hidden="false" customHeight="false" outlineLevel="0" collapsed="false">
      <c r="A639" s="30" t="n">
        <v>636</v>
      </c>
      <c r="B639" s="31" t="n">
        <f aca="false">Summary!$B$5+IF(D639=1,0,IF(C639=1,Summary!$B$6,NA()))+(MATCH(1,E639:L639,0)-1)*Summary!$B$7+(MATCH(1,M639:T639,0)-1)*Summary!$B$8+(MATCH(1,U639:AB639,0)-1)*Summary!$B$9</f>
        <v>109.5</v>
      </c>
      <c r="C639" s="32" t="n">
        <v>1</v>
      </c>
      <c r="D639" s="32" t="n">
        <v>0</v>
      </c>
      <c r="E639" s="32" t="n">
        <v>0</v>
      </c>
      <c r="F639" s="32" t="n">
        <v>0</v>
      </c>
      <c r="G639" s="32" t="n">
        <v>0</v>
      </c>
      <c r="H639" s="32" t="n">
        <v>0</v>
      </c>
      <c r="I639" s="32" t="n">
        <v>0</v>
      </c>
      <c r="J639" s="32" t="n">
        <v>1</v>
      </c>
      <c r="K639" s="32" t="n">
        <v>0</v>
      </c>
      <c r="L639" s="32" t="n">
        <v>0</v>
      </c>
      <c r="M639" s="32" t="n">
        <v>0</v>
      </c>
      <c r="N639" s="32" t="n">
        <v>0</v>
      </c>
      <c r="O639" s="32" t="n">
        <v>0</v>
      </c>
      <c r="P639" s="32" t="n">
        <v>0</v>
      </c>
      <c r="Q639" s="32" t="n">
        <v>0</v>
      </c>
      <c r="R639" s="32" t="n">
        <v>0</v>
      </c>
      <c r="S639" s="32" t="n">
        <v>0</v>
      </c>
      <c r="T639" s="32" t="n">
        <v>1</v>
      </c>
      <c r="U639" s="32" t="n">
        <v>0</v>
      </c>
      <c r="V639" s="32" t="n">
        <v>0</v>
      </c>
      <c r="W639" s="32" t="n">
        <v>0</v>
      </c>
      <c r="X639" s="32" t="n">
        <v>0</v>
      </c>
      <c r="Y639" s="32" t="n">
        <v>1</v>
      </c>
      <c r="Z639" s="32" t="n">
        <v>0</v>
      </c>
      <c r="AA639" s="32" t="n">
        <v>0</v>
      </c>
      <c r="AB639" s="32" t="n">
        <v>0</v>
      </c>
      <c r="AC639" s="30" t="s">
        <v>740</v>
      </c>
      <c r="AD639" s="37" t="n">
        <f aca="false">B639-B638</f>
        <v>0.125</v>
      </c>
    </row>
    <row r="640" customFormat="false" ht="15" hidden="false" customHeight="false" outlineLevel="0" collapsed="false">
      <c r="A640" s="33" t="n">
        <v>637</v>
      </c>
      <c r="B640" s="34" t="n">
        <f aca="false">Summary!$B$5+IF(D640=1,0,IF(C640=1,Summary!$B$6,NA()))+(MATCH(1,E640:L640,0)-1)*Summary!$B$7+(MATCH(1,M640:T640,0)-1)*Summary!$B$8+(MATCH(1,U640:AB640,0)-1)*Summary!$B$9</f>
        <v>109.625</v>
      </c>
      <c r="C640" s="35" t="n">
        <v>1</v>
      </c>
      <c r="D640" s="35" t="n">
        <v>0</v>
      </c>
      <c r="E640" s="35" t="n">
        <v>0</v>
      </c>
      <c r="F640" s="35" t="n">
        <v>0</v>
      </c>
      <c r="G640" s="35" t="n">
        <v>0</v>
      </c>
      <c r="H640" s="35" t="n">
        <v>0</v>
      </c>
      <c r="I640" s="35" t="n">
        <v>0</v>
      </c>
      <c r="J640" s="35" t="n">
        <v>1</v>
      </c>
      <c r="K640" s="35" t="n">
        <v>0</v>
      </c>
      <c r="L640" s="35" t="n">
        <v>0</v>
      </c>
      <c r="M640" s="35" t="n">
        <v>0</v>
      </c>
      <c r="N640" s="35" t="n">
        <v>0</v>
      </c>
      <c r="O640" s="35" t="n">
        <v>0</v>
      </c>
      <c r="P640" s="35" t="n">
        <v>0</v>
      </c>
      <c r="Q640" s="35" t="n">
        <v>0</v>
      </c>
      <c r="R640" s="35" t="n">
        <v>0</v>
      </c>
      <c r="S640" s="35" t="n">
        <v>0</v>
      </c>
      <c r="T640" s="35" t="n">
        <v>1</v>
      </c>
      <c r="U640" s="35" t="n">
        <v>0</v>
      </c>
      <c r="V640" s="35" t="n">
        <v>0</v>
      </c>
      <c r="W640" s="35" t="n">
        <v>0</v>
      </c>
      <c r="X640" s="35" t="n">
        <v>0</v>
      </c>
      <c r="Y640" s="35" t="n">
        <v>0</v>
      </c>
      <c r="Z640" s="35" t="n">
        <v>1</v>
      </c>
      <c r="AA640" s="35" t="n">
        <v>0</v>
      </c>
      <c r="AB640" s="35" t="n">
        <v>0</v>
      </c>
      <c r="AC640" s="33" t="s">
        <v>741</v>
      </c>
      <c r="AD640" s="36" t="n">
        <f aca="false">B640-B639</f>
        <v>0.125</v>
      </c>
    </row>
    <row r="641" customFormat="false" ht="15" hidden="false" customHeight="false" outlineLevel="0" collapsed="false">
      <c r="A641" s="30" t="n">
        <v>638</v>
      </c>
      <c r="B641" s="31" t="n">
        <f aca="false">Summary!$B$5+IF(D641=1,0,IF(C641=1,Summary!$B$6,NA()))+(MATCH(1,E641:L641,0)-1)*Summary!$B$7+(MATCH(1,M641:T641,0)-1)*Summary!$B$8+(MATCH(1,U641:AB641,0)-1)*Summary!$B$9</f>
        <v>109.75</v>
      </c>
      <c r="C641" s="32" t="n">
        <v>1</v>
      </c>
      <c r="D641" s="32" t="n">
        <v>0</v>
      </c>
      <c r="E641" s="32" t="n">
        <v>0</v>
      </c>
      <c r="F641" s="32" t="n">
        <v>0</v>
      </c>
      <c r="G641" s="32" t="n">
        <v>0</v>
      </c>
      <c r="H641" s="32" t="n">
        <v>0</v>
      </c>
      <c r="I641" s="32" t="n">
        <v>0</v>
      </c>
      <c r="J641" s="32" t="n">
        <v>1</v>
      </c>
      <c r="K641" s="32" t="n">
        <v>0</v>
      </c>
      <c r="L641" s="32" t="n">
        <v>0</v>
      </c>
      <c r="M641" s="32" t="n">
        <v>0</v>
      </c>
      <c r="N641" s="32" t="n">
        <v>0</v>
      </c>
      <c r="O641" s="32" t="n">
        <v>0</v>
      </c>
      <c r="P641" s="32" t="n">
        <v>0</v>
      </c>
      <c r="Q641" s="32" t="n">
        <v>0</v>
      </c>
      <c r="R641" s="32" t="n">
        <v>0</v>
      </c>
      <c r="S641" s="32" t="n">
        <v>0</v>
      </c>
      <c r="T641" s="32" t="n">
        <v>1</v>
      </c>
      <c r="U641" s="32" t="n">
        <v>0</v>
      </c>
      <c r="V641" s="32" t="n">
        <v>0</v>
      </c>
      <c r="W641" s="32" t="n">
        <v>0</v>
      </c>
      <c r="X641" s="32" t="n">
        <v>0</v>
      </c>
      <c r="Y641" s="32" t="n">
        <v>0</v>
      </c>
      <c r="Z641" s="32" t="n">
        <v>0</v>
      </c>
      <c r="AA641" s="32" t="n">
        <v>1</v>
      </c>
      <c r="AB641" s="32" t="n">
        <v>0</v>
      </c>
      <c r="AC641" s="30" t="s">
        <v>742</v>
      </c>
      <c r="AD641" s="37" t="n">
        <f aca="false">B641-B640</f>
        <v>0.125</v>
      </c>
    </row>
    <row r="642" customFormat="false" ht="15" hidden="false" customHeight="false" outlineLevel="0" collapsed="false">
      <c r="A642" s="33" t="n">
        <v>639</v>
      </c>
      <c r="B642" s="34" t="n">
        <f aca="false">Summary!$B$5+IF(D642=1,0,IF(C642=1,Summary!$B$6,NA()))+(MATCH(1,E642:L642,0)-1)*Summary!$B$7+(MATCH(1,M642:T642,0)-1)*Summary!$B$8+(MATCH(1,U642:AB642,0)-1)*Summary!$B$9</f>
        <v>109.875</v>
      </c>
      <c r="C642" s="35" t="n">
        <v>1</v>
      </c>
      <c r="D642" s="35" t="n">
        <v>0</v>
      </c>
      <c r="E642" s="35" t="n">
        <v>0</v>
      </c>
      <c r="F642" s="35" t="n">
        <v>0</v>
      </c>
      <c r="G642" s="35" t="n">
        <v>0</v>
      </c>
      <c r="H642" s="35" t="n">
        <v>0</v>
      </c>
      <c r="I642" s="35" t="n">
        <v>0</v>
      </c>
      <c r="J642" s="35" t="n">
        <v>1</v>
      </c>
      <c r="K642" s="35" t="n">
        <v>0</v>
      </c>
      <c r="L642" s="35" t="n">
        <v>0</v>
      </c>
      <c r="M642" s="35" t="n">
        <v>0</v>
      </c>
      <c r="N642" s="35" t="n">
        <v>0</v>
      </c>
      <c r="O642" s="35" t="n">
        <v>0</v>
      </c>
      <c r="P642" s="35" t="n">
        <v>0</v>
      </c>
      <c r="Q642" s="35" t="n">
        <v>0</v>
      </c>
      <c r="R642" s="35" t="n">
        <v>0</v>
      </c>
      <c r="S642" s="35" t="n">
        <v>0</v>
      </c>
      <c r="T642" s="35" t="n">
        <v>1</v>
      </c>
      <c r="U642" s="35" t="n">
        <v>0</v>
      </c>
      <c r="V642" s="35" t="n">
        <v>0</v>
      </c>
      <c r="W642" s="35" t="n">
        <v>0</v>
      </c>
      <c r="X642" s="35" t="n">
        <v>0</v>
      </c>
      <c r="Y642" s="35" t="n">
        <v>0</v>
      </c>
      <c r="Z642" s="35" t="n">
        <v>0</v>
      </c>
      <c r="AA642" s="35" t="n">
        <v>0</v>
      </c>
      <c r="AB642" s="35" t="n">
        <v>1</v>
      </c>
      <c r="AC642" s="33" t="s">
        <v>743</v>
      </c>
      <c r="AD642" s="36" t="n">
        <f aca="false">B642-B641</f>
        <v>0.125</v>
      </c>
    </row>
    <row r="643" customFormat="false" ht="15" hidden="false" customHeight="false" outlineLevel="0" collapsed="false">
      <c r="A643" s="30" t="n">
        <v>640</v>
      </c>
      <c r="B643" s="31" t="n">
        <f aca="false">Summary!$B$5+IF(D643=1,0,IF(C643=1,Summary!$B$6,NA()))+(MATCH(1,E643:L643,0)-1)*Summary!$B$7+(MATCH(1,M643:T643,0)-1)*Summary!$B$8+(MATCH(1,U643:AB643,0)-1)*Summary!$B$9</f>
        <v>110</v>
      </c>
      <c r="C643" s="32" t="n">
        <v>1</v>
      </c>
      <c r="D643" s="32" t="n">
        <v>0</v>
      </c>
      <c r="E643" s="32" t="n">
        <v>0</v>
      </c>
      <c r="F643" s="32" t="n">
        <v>0</v>
      </c>
      <c r="G643" s="32" t="n">
        <v>0</v>
      </c>
      <c r="H643" s="32" t="n">
        <v>0</v>
      </c>
      <c r="I643" s="32" t="n">
        <v>0</v>
      </c>
      <c r="J643" s="32" t="n">
        <v>0</v>
      </c>
      <c r="K643" s="32" t="n">
        <v>1</v>
      </c>
      <c r="L643" s="32" t="n">
        <v>0</v>
      </c>
      <c r="M643" s="32" t="n">
        <v>1</v>
      </c>
      <c r="N643" s="32" t="n">
        <v>0</v>
      </c>
      <c r="O643" s="32" t="n">
        <v>0</v>
      </c>
      <c r="P643" s="32" t="n">
        <v>0</v>
      </c>
      <c r="Q643" s="32" t="n">
        <v>0</v>
      </c>
      <c r="R643" s="32" t="n">
        <v>0</v>
      </c>
      <c r="S643" s="32" t="n">
        <v>0</v>
      </c>
      <c r="T643" s="32" t="n">
        <v>0</v>
      </c>
      <c r="U643" s="32" t="n">
        <v>1</v>
      </c>
      <c r="V643" s="32" t="n">
        <v>0</v>
      </c>
      <c r="W643" s="32" t="n">
        <v>0</v>
      </c>
      <c r="X643" s="32" t="n">
        <v>0</v>
      </c>
      <c r="Y643" s="32" t="n">
        <v>0</v>
      </c>
      <c r="Z643" s="32" t="n">
        <v>0</v>
      </c>
      <c r="AA643" s="32" t="n">
        <v>0</v>
      </c>
      <c r="AB643" s="32" t="n">
        <v>0</v>
      </c>
      <c r="AC643" s="30" t="s">
        <v>744</v>
      </c>
      <c r="AD643" s="37" t="n">
        <f aca="false">B643-B642</f>
        <v>0.125</v>
      </c>
    </row>
    <row r="644" customFormat="false" ht="15" hidden="false" customHeight="false" outlineLevel="0" collapsed="false">
      <c r="A644" s="33" t="n">
        <v>641</v>
      </c>
      <c r="B644" s="34" t="n">
        <f aca="false">Summary!$B$5+IF(D644=1,0,IF(C644=1,Summary!$B$6,NA()))+(MATCH(1,E644:L644,0)-1)*Summary!$B$7+(MATCH(1,M644:T644,0)-1)*Summary!$B$8+(MATCH(1,U644:AB644,0)-1)*Summary!$B$9</f>
        <v>110.125</v>
      </c>
      <c r="C644" s="35" t="n">
        <v>1</v>
      </c>
      <c r="D644" s="35" t="n">
        <v>0</v>
      </c>
      <c r="E644" s="35" t="n">
        <v>0</v>
      </c>
      <c r="F644" s="35" t="n">
        <v>0</v>
      </c>
      <c r="G644" s="35" t="n">
        <v>0</v>
      </c>
      <c r="H644" s="35" t="n">
        <v>0</v>
      </c>
      <c r="I644" s="35" t="n">
        <v>0</v>
      </c>
      <c r="J644" s="35" t="n">
        <v>0</v>
      </c>
      <c r="K644" s="35" t="n">
        <v>1</v>
      </c>
      <c r="L644" s="35" t="n">
        <v>0</v>
      </c>
      <c r="M644" s="35" t="n">
        <v>1</v>
      </c>
      <c r="N644" s="35" t="n">
        <v>0</v>
      </c>
      <c r="O644" s="35" t="n">
        <v>0</v>
      </c>
      <c r="P644" s="35" t="n">
        <v>0</v>
      </c>
      <c r="Q644" s="35" t="n">
        <v>0</v>
      </c>
      <c r="R644" s="35" t="n">
        <v>0</v>
      </c>
      <c r="S644" s="35" t="n">
        <v>0</v>
      </c>
      <c r="T644" s="35" t="n">
        <v>0</v>
      </c>
      <c r="U644" s="35" t="n">
        <v>0</v>
      </c>
      <c r="V644" s="35" t="n">
        <v>1</v>
      </c>
      <c r="W644" s="35" t="n">
        <v>0</v>
      </c>
      <c r="X644" s="35" t="n">
        <v>0</v>
      </c>
      <c r="Y644" s="35" t="n">
        <v>0</v>
      </c>
      <c r="Z644" s="35" t="n">
        <v>0</v>
      </c>
      <c r="AA644" s="35" t="n">
        <v>0</v>
      </c>
      <c r="AB644" s="35" t="n">
        <v>0</v>
      </c>
      <c r="AC644" s="33" t="s">
        <v>745</v>
      </c>
      <c r="AD644" s="36" t="n">
        <f aca="false">B644-B643</f>
        <v>0.125</v>
      </c>
    </row>
    <row r="645" customFormat="false" ht="15" hidden="false" customHeight="false" outlineLevel="0" collapsed="false">
      <c r="A645" s="30" t="n">
        <v>642</v>
      </c>
      <c r="B645" s="31" t="n">
        <f aca="false">Summary!$B$5+IF(D645=1,0,IF(C645=1,Summary!$B$6,NA()))+(MATCH(1,E645:L645,0)-1)*Summary!$B$7+(MATCH(1,M645:T645,0)-1)*Summary!$B$8+(MATCH(1,U645:AB645,0)-1)*Summary!$B$9</f>
        <v>110.25</v>
      </c>
      <c r="C645" s="32" t="n">
        <v>1</v>
      </c>
      <c r="D645" s="32" t="n">
        <v>0</v>
      </c>
      <c r="E645" s="32" t="n">
        <v>0</v>
      </c>
      <c r="F645" s="32" t="n">
        <v>0</v>
      </c>
      <c r="G645" s="32" t="n">
        <v>0</v>
      </c>
      <c r="H645" s="32" t="n">
        <v>0</v>
      </c>
      <c r="I645" s="32" t="n">
        <v>0</v>
      </c>
      <c r="J645" s="32" t="n">
        <v>0</v>
      </c>
      <c r="K645" s="32" t="n">
        <v>1</v>
      </c>
      <c r="L645" s="32" t="n">
        <v>0</v>
      </c>
      <c r="M645" s="32" t="n">
        <v>1</v>
      </c>
      <c r="N645" s="32" t="n">
        <v>0</v>
      </c>
      <c r="O645" s="32" t="n">
        <v>0</v>
      </c>
      <c r="P645" s="32" t="n">
        <v>0</v>
      </c>
      <c r="Q645" s="32" t="n">
        <v>0</v>
      </c>
      <c r="R645" s="32" t="n">
        <v>0</v>
      </c>
      <c r="S645" s="32" t="n">
        <v>0</v>
      </c>
      <c r="T645" s="32" t="n">
        <v>0</v>
      </c>
      <c r="U645" s="32" t="n">
        <v>0</v>
      </c>
      <c r="V645" s="32" t="n">
        <v>0</v>
      </c>
      <c r="W645" s="32" t="n">
        <v>1</v>
      </c>
      <c r="X645" s="32" t="n">
        <v>0</v>
      </c>
      <c r="Y645" s="32" t="n">
        <v>0</v>
      </c>
      <c r="Z645" s="32" t="n">
        <v>0</v>
      </c>
      <c r="AA645" s="32" t="n">
        <v>0</v>
      </c>
      <c r="AB645" s="32" t="n">
        <v>0</v>
      </c>
      <c r="AC645" s="30" t="s">
        <v>746</v>
      </c>
      <c r="AD645" s="37" t="n">
        <f aca="false">B645-B644</f>
        <v>0.125</v>
      </c>
    </row>
    <row r="646" customFormat="false" ht="15" hidden="false" customHeight="false" outlineLevel="0" collapsed="false">
      <c r="A646" s="33" t="n">
        <v>643</v>
      </c>
      <c r="B646" s="34" t="n">
        <f aca="false">Summary!$B$5+IF(D646=1,0,IF(C646=1,Summary!$B$6,NA()))+(MATCH(1,E646:L646,0)-1)*Summary!$B$7+(MATCH(1,M646:T646,0)-1)*Summary!$B$8+(MATCH(1,U646:AB646,0)-1)*Summary!$B$9</f>
        <v>110.375</v>
      </c>
      <c r="C646" s="35" t="n">
        <v>1</v>
      </c>
      <c r="D646" s="35" t="n">
        <v>0</v>
      </c>
      <c r="E646" s="35" t="n">
        <v>0</v>
      </c>
      <c r="F646" s="35" t="n">
        <v>0</v>
      </c>
      <c r="G646" s="35" t="n">
        <v>0</v>
      </c>
      <c r="H646" s="35" t="n">
        <v>0</v>
      </c>
      <c r="I646" s="35" t="n">
        <v>0</v>
      </c>
      <c r="J646" s="35" t="n">
        <v>0</v>
      </c>
      <c r="K646" s="35" t="n">
        <v>1</v>
      </c>
      <c r="L646" s="35" t="n">
        <v>0</v>
      </c>
      <c r="M646" s="35" t="n">
        <v>1</v>
      </c>
      <c r="N646" s="35" t="n">
        <v>0</v>
      </c>
      <c r="O646" s="35" t="n">
        <v>0</v>
      </c>
      <c r="P646" s="35" t="n">
        <v>0</v>
      </c>
      <c r="Q646" s="35" t="n">
        <v>0</v>
      </c>
      <c r="R646" s="35" t="n">
        <v>0</v>
      </c>
      <c r="S646" s="35" t="n">
        <v>0</v>
      </c>
      <c r="T646" s="35" t="n">
        <v>0</v>
      </c>
      <c r="U646" s="35" t="n">
        <v>0</v>
      </c>
      <c r="V646" s="35" t="n">
        <v>0</v>
      </c>
      <c r="W646" s="35" t="n">
        <v>0</v>
      </c>
      <c r="X646" s="35" t="n">
        <v>1</v>
      </c>
      <c r="Y646" s="35" t="n">
        <v>0</v>
      </c>
      <c r="Z646" s="35" t="n">
        <v>0</v>
      </c>
      <c r="AA646" s="35" t="n">
        <v>0</v>
      </c>
      <c r="AB646" s="35" t="n">
        <v>0</v>
      </c>
      <c r="AC646" s="33" t="s">
        <v>747</v>
      </c>
      <c r="AD646" s="36" t="n">
        <f aca="false">B646-B645</f>
        <v>0.125</v>
      </c>
    </row>
    <row r="647" customFormat="false" ht="15" hidden="false" customHeight="false" outlineLevel="0" collapsed="false">
      <c r="A647" s="30" t="n">
        <v>644</v>
      </c>
      <c r="B647" s="31" t="n">
        <f aca="false">Summary!$B$5+IF(D647=1,0,IF(C647=1,Summary!$B$6,NA()))+(MATCH(1,E647:L647,0)-1)*Summary!$B$7+(MATCH(1,M647:T647,0)-1)*Summary!$B$8+(MATCH(1,U647:AB647,0)-1)*Summary!$B$9</f>
        <v>110.5</v>
      </c>
      <c r="C647" s="32" t="n">
        <v>1</v>
      </c>
      <c r="D647" s="32" t="n">
        <v>0</v>
      </c>
      <c r="E647" s="32" t="n">
        <v>0</v>
      </c>
      <c r="F647" s="32" t="n">
        <v>0</v>
      </c>
      <c r="G647" s="32" t="n">
        <v>0</v>
      </c>
      <c r="H647" s="32" t="n">
        <v>0</v>
      </c>
      <c r="I647" s="32" t="n">
        <v>0</v>
      </c>
      <c r="J647" s="32" t="n">
        <v>0</v>
      </c>
      <c r="K647" s="32" t="n">
        <v>1</v>
      </c>
      <c r="L647" s="32" t="n">
        <v>0</v>
      </c>
      <c r="M647" s="32" t="n">
        <v>1</v>
      </c>
      <c r="N647" s="32" t="n">
        <v>0</v>
      </c>
      <c r="O647" s="32" t="n">
        <v>0</v>
      </c>
      <c r="P647" s="32" t="n">
        <v>0</v>
      </c>
      <c r="Q647" s="32" t="n">
        <v>0</v>
      </c>
      <c r="R647" s="32" t="n">
        <v>0</v>
      </c>
      <c r="S647" s="32" t="n">
        <v>0</v>
      </c>
      <c r="T647" s="32" t="n">
        <v>0</v>
      </c>
      <c r="U647" s="32" t="n">
        <v>0</v>
      </c>
      <c r="V647" s="32" t="n">
        <v>0</v>
      </c>
      <c r="W647" s="32" t="n">
        <v>0</v>
      </c>
      <c r="X647" s="32" t="n">
        <v>0</v>
      </c>
      <c r="Y647" s="32" t="n">
        <v>1</v>
      </c>
      <c r="Z647" s="32" t="n">
        <v>0</v>
      </c>
      <c r="AA647" s="32" t="n">
        <v>0</v>
      </c>
      <c r="AB647" s="32" t="n">
        <v>0</v>
      </c>
      <c r="AC647" s="30" t="s">
        <v>748</v>
      </c>
      <c r="AD647" s="37" t="n">
        <f aca="false">B647-B646</f>
        <v>0.125</v>
      </c>
    </row>
    <row r="648" customFormat="false" ht="15" hidden="false" customHeight="false" outlineLevel="0" collapsed="false">
      <c r="A648" s="33" t="n">
        <v>645</v>
      </c>
      <c r="B648" s="34" t="n">
        <f aca="false">Summary!$B$5+IF(D648=1,0,IF(C648=1,Summary!$B$6,NA()))+(MATCH(1,E648:L648,0)-1)*Summary!$B$7+(MATCH(1,M648:T648,0)-1)*Summary!$B$8+(MATCH(1,U648:AB648,0)-1)*Summary!$B$9</f>
        <v>110.625</v>
      </c>
      <c r="C648" s="35" t="n">
        <v>1</v>
      </c>
      <c r="D648" s="35" t="n">
        <v>0</v>
      </c>
      <c r="E648" s="35" t="n">
        <v>0</v>
      </c>
      <c r="F648" s="35" t="n">
        <v>0</v>
      </c>
      <c r="G648" s="35" t="n">
        <v>0</v>
      </c>
      <c r="H648" s="35" t="n">
        <v>0</v>
      </c>
      <c r="I648" s="35" t="n">
        <v>0</v>
      </c>
      <c r="J648" s="35" t="n">
        <v>0</v>
      </c>
      <c r="K648" s="35" t="n">
        <v>1</v>
      </c>
      <c r="L648" s="35" t="n">
        <v>0</v>
      </c>
      <c r="M648" s="35" t="n">
        <v>1</v>
      </c>
      <c r="N648" s="35" t="n">
        <v>0</v>
      </c>
      <c r="O648" s="35" t="n">
        <v>0</v>
      </c>
      <c r="P648" s="35" t="n">
        <v>0</v>
      </c>
      <c r="Q648" s="35" t="n">
        <v>0</v>
      </c>
      <c r="R648" s="35" t="n">
        <v>0</v>
      </c>
      <c r="S648" s="35" t="n">
        <v>0</v>
      </c>
      <c r="T648" s="35" t="n">
        <v>0</v>
      </c>
      <c r="U648" s="35" t="n">
        <v>0</v>
      </c>
      <c r="V648" s="35" t="n">
        <v>0</v>
      </c>
      <c r="W648" s="35" t="n">
        <v>0</v>
      </c>
      <c r="X648" s="35" t="n">
        <v>0</v>
      </c>
      <c r="Y648" s="35" t="n">
        <v>0</v>
      </c>
      <c r="Z648" s="35" t="n">
        <v>1</v>
      </c>
      <c r="AA648" s="35" t="n">
        <v>0</v>
      </c>
      <c r="AB648" s="35" t="n">
        <v>0</v>
      </c>
      <c r="AC648" s="33" t="s">
        <v>749</v>
      </c>
      <c r="AD648" s="36" t="n">
        <f aca="false">B648-B647</f>
        <v>0.125</v>
      </c>
    </row>
    <row r="649" customFormat="false" ht="15" hidden="false" customHeight="false" outlineLevel="0" collapsed="false">
      <c r="A649" s="30" t="n">
        <v>646</v>
      </c>
      <c r="B649" s="31" t="n">
        <f aca="false">Summary!$B$5+IF(D649=1,0,IF(C649=1,Summary!$B$6,NA()))+(MATCH(1,E649:L649,0)-1)*Summary!$B$7+(MATCH(1,M649:T649,0)-1)*Summary!$B$8+(MATCH(1,U649:AB649,0)-1)*Summary!$B$9</f>
        <v>110.75</v>
      </c>
      <c r="C649" s="32" t="n">
        <v>1</v>
      </c>
      <c r="D649" s="32" t="n">
        <v>0</v>
      </c>
      <c r="E649" s="32" t="n">
        <v>0</v>
      </c>
      <c r="F649" s="32" t="n">
        <v>0</v>
      </c>
      <c r="G649" s="32" t="n">
        <v>0</v>
      </c>
      <c r="H649" s="32" t="n">
        <v>0</v>
      </c>
      <c r="I649" s="32" t="n">
        <v>0</v>
      </c>
      <c r="J649" s="32" t="n">
        <v>0</v>
      </c>
      <c r="K649" s="32" t="n">
        <v>1</v>
      </c>
      <c r="L649" s="32" t="n">
        <v>0</v>
      </c>
      <c r="M649" s="32" t="n">
        <v>1</v>
      </c>
      <c r="N649" s="32" t="n">
        <v>0</v>
      </c>
      <c r="O649" s="32" t="n">
        <v>0</v>
      </c>
      <c r="P649" s="32" t="n">
        <v>0</v>
      </c>
      <c r="Q649" s="32" t="n">
        <v>0</v>
      </c>
      <c r="R649" s="32" t="n">
        <v>0</v>
      </c>
      <c r="S649" s="32" t="n">
        <v>0</v>
      </c>
      <c r="T649" s="32" t="n">
        <v>0</v>
      </c>
      <c r="U649" s="32" t="n">
        <v>0</v>
      </c>
      <c r="V649" s="32" t="n">
        <v>0</v>
      </c>
      <c r="W649" s="32" t="n">
        <v>0</v>
      </c>
      <c r="X649" s="32" t="n">
        <v>0</v>
      </c>
      <c r="Y649" s="32" t="n">
        <v>0</v>
      </c>
      <c r="Z649" s="32" t="n">
        <v>0</v>
      </c>
      <c r="AA649" s="32" t="n">
        <v>1</v>
      </c>
      <c r="AB649" s="32" t="n">
        <v>0</v>
      </c>
      <c r="AC649" s="30" t="s">
        <v>750</v>
      </c>
      <c r="AD649" s="37" t="n">
        <f aca="false">B649-B648</f>
        <v>0.125</v>
      </c>
    </row>
    <row r="650" customFormat="false" ht="15" hidden="false" customHeight="false" outlineLevel="0" collapsed="false">
      <c r="A650" s="33" t="n">
        <v>647</v>
      </c>
      <c r="B650" s="34" t="n">
        <f aca="false">Summary!$B$5+IF(D650=1,0,IF(C650=1,Summary!$B$6,NA()))+(MATCH(1,E650:L650,0)-1)*Summary!$B$7+(MATCH(1,M650:T650,0)-1)*Summary!$B$8+(MATCH(1,U650:AB650,0)-1)*Summary!$B$9</f>
        <v>110.875</v>
      </c>
      <c r="C650" s="35" t="n">
        <v>1</v>
      </c>
      <c r="D650" s="35" t="n">
        <v>0</v>
      </c>
      <c r="E650" s="35" t="n">
        <v>0</v>
      </c>
      <c r="F650" s="35" t="n">
        <v>0</v>
      </c>
      <c r="G650" s="35" t="n">
        <v>0</v>
      </c>
      <c r="H650" s="35" t="n">
        <v>0</v>
      </c>
      <c r="I650" s="35" t="n">
        <v>0</v>
      </c>
      <c r="J650" s="35" t="n">
        <v>0</v>
      </c>
      <c r="K650" s="35" t="n">
        <v>1</v>
      </c>
      <c r="L650" s="35" t="n">
        <v>0</v>
      </c>
      <c r="M650" s="35" t="n">
        <v>1</v>
      </c>
      <c r="N650" s="35" t="n">
        <v>0</v>
      </c>
      <c r="O650" s="35" t="n">
        <v>0</v>
      </c>
      <c r="P650" s="35" t="n">
        <v>0</v>
      </c>
      <c r="Q650" s="35" t="n">
        <v>0</v>
      </c>
      <c r="R650" s="35" t="n">
        <v>0</v>
      </c>
      <c r="S650" s="35" t="n">
        <v>0</v>
      </c>
      <c r="T650" s="35" t="n">
        <v>0</v>
      </c>
      <c r="U650" s="35" t="n">
        <v>0</v>
      </c>
      <c r="V650" s="35" t="n">
        <v>0</v>
      </c>
      <c r="W650" s="35" t="n">
        <v>0</v>
      </c>
      <c r="X650" s="35" t="n">
        <v>0</v>
      </c>
      <c r="Y650" s="35" t="n">
        <v>0</v>
      </c>
      <c r="Z650" s="35" t="n">
        <v>0</v>
      </c>
      <c r="AA650" s="35" t="n">
        <v>0</v>
      </c>
      <c r="AB650" s="35" t="n">
        <v>1</v>
      </c>
      <c r="AC650" s="33" t="s">
        <v>751</v>
      </c>
      <c r="AD650" s="36" t="n">
        <f aca="false">B650-B649</f>
        <v>0.125</v>
      </c>
    </row>
    <row r="651" customFormat="false" ht="15" hidden="false" customHeight="false" outlineLevel="0" collapsed="false">
      <c r="A651" s="30" t="n">
        <v>648</v>
      </c>
      <c r="B651" s="31" t="n">
        <f aca="false">Summary!$B$5+IF(D651=1,0,IF(C651=1,Summary!$B$6,NA()))+(MATCH(1,E651:L651,0)-1)*Summary!$B$7+(MATCH(1,M651:T651,0)-1)*Summary!$B$8+(MATCH(1,U651:AB651,0)-1)*Summary!$B$9</f>
        <v>111</v>
      </c>
      <c r="C651" s="32" t="n">
        <v>1</v>
      </c>
      <c r="D651" s="32" t="n">
        <v>0</v>
      </c>
      <c r="E651" s="32" t="n">
        <v>0</v>
      </c>
      <c r="F651" s="32" t="n">
        <v>0</v>
      </c>
      <c r="G651" s="32" t="n">
        <v>0</v>
      </c>
      <c r="H651" s="32" t="n">
        <v>0</v>
      </c>
      <c r="I651" s="32" t="n">
        <v>0</v>
      </c>
      <c r="J651" s="32" t="n">
        <v>0</v>
      </c>
      <c r="K651" s="32" t="n">
        <v>1</v>
      </c>
      <c r="L651" s="32" t="n">
        <v>0</v>
      </c>
      <c r="M651" s="32" t="n">
        <v>0</v>
      </c>
      <c r="N651" s="32" t="n">
        <v>1</v>
      </c>
      <c r="O651" s="32" t="n">
        <v>0</v>
      </c>
      <c r="P651" s="32" t="n">
        <v>0</v>
      </c>
      <c r="Q651" s="32" t="n">
        <v>0</v>
      </c>
      <c r="R651" s="32" t="n">
        <v>0</v>
      </c>
      <c r="S651" s="32" t="n">
        <v>0</v>
      </c>
      <c r="T651" s="32" t="n">
        <v>0</v>
      </c>
      <c r="U651" s="32" t="n">
        <v>1</v>
      </c>
      <c r="V651" s="32" t="n">
        <v>0</v>
      </c>
      <c r="W651" s="32" t="n">
        <v>0</v>
      </c>
      <c r="X651" s="32" t="n">
        <v>0</v>
      </c>
      <c r="Y651" s="32" t="n">
        <v>0</v>
      </c>
      <c r="Z651" s="32" t="n">
        <v>0</v>
      </c>
      <c r="AA651" s="32" t="n">
        <v>0</v>
      </c>
      <c r="AB651" s="32" t="n">
        <v>0</v>
      </c>
      <c r="AC651" s="30" t="s">
        <v>752</v>
      </c>
      <c r="AD651" s="37" t="n">
        <f aca="false">B651-B650</f>
        <v>0.125</v>
      </c>
    </row>
    <row r="652" customFormat="false" ht="15" hidden="false" customHeight="false" outlineLevel="0" collapsed="false">
      <c r="A652" s="33" t="n">
        <v>649</v>
      </c>
      <c r="B652" s="34" t="n">
        <f aca="false">Summary!$B$5+IF(D652=1,0,IF(C652=1,Summary!$B$6,NA()))+(MATCH(1,E652:L652,0)-1)*Summary!$B$7+(MATCH(1,M652:T652,0)-1)*Summary!$B$8+(MATCH(1,U652:AB652,0)-1)*Summary!$B$9</f>
        <v>111.125</v>
      </c>
      <c r="C652" s="35" t="n">
        <v>1</v>
      </c>
      <c r="D652" s="35" t="n">
        <v>0</v>
      </c>
      <c r="E652" s="35" t="n">
        <v>0</v>
      </c>
      <c r="F652" s="35" t="n">
        <v>0</v>
      </c>
      <c r="G652" s="35" t="n">
        <v>0</v>
      </c>
      <c r="H652" s="35" t="n">
        <v>0</v>
      </c>
      <c r="I652" s="35" t="n">
        <v>0</v>
      </c>
      <c r="J652" s="35" t="n">
        <v>0</v>
      </c>
      <c r="K652" s="35" t="n">
        <v>1</v>
      </c>
      <c r="L652" s="35" t="n">
        <v>0</v>
      </c>
      <c r="M652" s="35" t="n">
        <v>0</v>
      </c>
      <c r="N652" s="35" t="n">
        <v>1</v>
      </c>
      <c r="O652" s="35" t="n">
        <v>0</v>
      </c>
      <c r="P652" s="35" t="n">
        <v>0</v>
      </c>
      <c r="Q652" s="35" t="n">
        <v>0</v>
      </c>
      <c r="R652" s="35" t="n">
        <v>0</v>
      </c>
      <c r="S652" s="35" t="n">
        <v>0</v>
      </c>
      <c r="T652" s="35" t="n">
        <v>0</v>
      </c>
      <c r="U652" s="35" t="n">
        <v>0</v>
      </c>
      <c r="V652" s="35" t="n">
        <v>1</v>
      </c>
      <c r="W652" s="35" t="n">
        <v>0</v>
      </c>
      <c r="X652" s="35" t="n">
        <v>0</v>
      </c>
      <c r="Y652" s="35" t="n">
        <v>0</v>
      </c>
      <c r="Z652" s="35" t="n">
        <v>0</v>
      </c>
      <c r="AA652" s="35" t="n">
        <v>0</v>
      </c>
      <c r="AB652" s="35" t="n">
        <v>0</v>
      </c>
      <c r="AC652" s="33" t="s">
        <v>753</v>
      </c>
      <c r="AD652" s="36" t="n">
        <f aca="false">B652-B651</f>
        <v>0.125</v>
      </c>
    </row>
    <row r="653" customFormat="false" ht="15" hidden="false" customHeight="false" outlineLevel="0" collapsed="false">
      <c r="A653" s="30" t="n">
        <v>650</v>
      </c>
      <c r="B653" s="31" t="n">
        <f aca="false">Summary!$B$5+IF(D653=1,0,IF(C653=1,Summary!$B$6,NA()))+(MATCH(1,E653:L653,0)-1)*Summary!$B$7+(MATCH(1,M653:T653,0)-1)*Summary!$B$8+(MATCH(1,U653:AB653,0)-1)*Summary!$B$9</f>
        <v>111.25</v>
      </c>
      <c r="C653" s="32" t="n">
        <v>1</v>
      </c>
      <c r="D653" s="32" t="n">
        <v>0</v>
      </c>
      <c r="E653" s="32" t="n">
        <v>0</v>
      </c>
      <c r="F653" s="32" t="n">
        <v>0</v>
      </c>
      <c r="G653" s="32" t="n">
        <v>0</v>
      </c>
      <c r="H653" s="32" t="n">
        <v>0</v>
      </c>
      <c r="I653" s="32" t="n">
        <v>0</v>
      </c>
      <c r="J653" s="32" t="n">
        <v>0</v>
      </c>
      <c r="K653" s="32" t="n">
        <v>1</v>
      </c>
      <c r="L653" s="32" t="n">
        <v>0</v>
      </c>
      <c r="M653" s="32" t="n">
        <v>0</v>
      </c>
      <c r="N653" s="32" t="n">
        <v>1</v>
      </c>
      <c r="O653" s="32" t="n">
        <v>0</v>
      </c>
      <c r="P653" s="32" t="n">
        <v>0</v>
      </c>
      <c r="Q653" s="32" t="n">
        <v>0</v>
      </c>
      <c r="R653" s="32" t="n">
        <v>0</v>
      </c>
      <c r="S653" s="32" t="n">
        <v>0</v>
      </c>
      <c r="T653" s="32" t="n">
        <v>0</v>
      </c>
      <c r="U653" s="32" t="n">
        <v>0</v>
      </c>
      <c r="V653" s="32" t="n">
        <v>0</v>
      </c>
      <c r="W653" s="32" t="n">
        <v>1</v>
      </c>
      <c r="X653" s="32" t="n">
        <v>0</v>
      </c>
      <c r="Y653" s="32" t="n">
        <v>0</v>
      </c>
      <c r="Z653" s="32" t="n">
        <v>0</v>
      </c>
      <c r="AA653" s="32" t="n">
        <v>0</v>
      </c>
      <c r="AB653" s="32" t="n">
        <v>0</v>
      </c>
      <c r="AC653" s="30" t="s">
        <v>754</v>
      </c>
      <c r="AD653" s="37" t="n">
        <f aca="false">B653-B652</f>
        <v>0.125</v>
      </c>
    </row>
    <row r="654" customFormat="false" ht="15" hidden="false" customHeight="false" outlineLevel="0" collapsed="false">
      <c r="A654" s="33" t="n">
        <v>651</v>
      </c>
      <c r="B654" s="34" t="n">
        <f aca="false">Summary!$B$5+IF(D654=1,0,IF(C654=1,Summary!$B$6,NA()))+(MATCH(1,E654:L654,0)-1)*Summary!$B$7+(MATCH(1,M654:T654,0)-1)*Summary!$B$8+(MATCH(1,U654:AB654,0)-1)*Summary!$B$9</f>
        <v>111.375</v>
      </c>
      <c r="C654" s="35" t="n">
        <v>1</v>
      </c>
      <c r="D654" s="35" t="n">
        <v>0</v>
      </c>
      <c r="E654" s="35" t="n">
        <v>0</v>
      </c>
      <c r="F654" s="35" t="n">
        <v>0</v>
      </c>
      <c r="G654" s="35" t="n">
        <v>0</v>
      </c>
      <c r="H654" s="35" t="n">
        <v>0</v>
      </c>
      <c r="I654" s="35" t="n">
        <v>0</v>
      </c>
      <c r="J654" s="35" t="n">
        <v>0</v>
      </c>
      <c r="K654" s="35" t="n">
        <v>1</v>
      </c>
      <c r="L654" s="35" t="n">
        <v>0</v>
      </c>
      <c r="M654" s="35" t="n">
        <v>0</v>
      </c>
      <c r="N654" s="35" t="n">
        <v>1</v>
      </c>
      <c r="O654" s="35" t="n">
        <v>0</v>
      </c>
      <c r="P654" s="35" t="n">
        <v>0</v>
      </c>
      <c r="Q654" s="35" t="n">
        <v>0</v>
      </c>
      <c r="R654" s="35" t="n">
        <v>0</v>
      </c>
      <c r="S654" s="35" t="n">
        <v>0</v>
      </c>
      <c r="T654" s="35" t="n">
        <v>0</v>
      </c>
      <c r="U654" s="35" t="n">
        <v>0</v>
      </c>
      <c r="V654" s="35" t="n">
        <v>0</v>
      </c>
      <c r="W654" s="35" t="n">
        <v>0</v>
      </c>
      <c r="X654" s="35" t="n">
        <v>1</v>
      </c>
      <c r="Y654" s="35" t="n">
        <v>0</v>
      </c>
      <c r="Z654" s="35" t="n">
        <v>0</v>
      </c>
      <c r="AA654" s="35" t="n">
        <v>0</v>
      </c>
      <c r="AB654" s="35" t="n">
        <v>0</v>
      </c>
      <c r="AC654" s="33" t="s">
        <v>755</v>
      </c>
      <c r="AD654" s="36" t="n">
        <f aca="false">B654-B653</f>
        <v>0.125</v>
      </c>
    </row>
    <row r="655" customFormat="false" ht="15" hidden="false" customHeight="false" outlineLevel="0" collapsed="false">
      <c r="A655" s="30" t="n">
        <v>652</v>
      </c>
      <c r="B655" s="31" t="n">
        <f aca="false">Summary!$B$5+IF(D655=1,0,IF(C655=1,Summary!$B$6,NA()))+(MATCH(1,E655:L655,0)-1)*Summary!$B$7+(MATCH(1,M655:T655,0)-1)*Summary!$B$8+(MATCH(1,U655:AB655,0)-1)*Summary!$B$9</f>
        <v>111.5</v>
      </c>
      <c r="C655" s="32" t="n">
        <v>1</v>
      </c>
      <c r="D655" s="32" t="n">
        <v>0</v>
      </c>
      <c r="E655" s="32" t="n">
        <v>0</v>
      </c>
      <c r="F655" s="32" t="n">
        <v>0</v>
      </c>
      <c r="G655" s="32" t="n">
        <v>0</v>
      </c>
      <c r="H655" s="32" t="n">
        <v>0</v>
      </c>
      <c r="I655" s="32" t="n">
        <v>0</v>
      </c>
      <c r="J655" s="32" t="n">
        <v>0</v>
      </c>
      <c r="K655" s="32" t="n">
        <v>1</v>
      </c>
      <c r="L655" s="32" t="n">
        <v>0</v>
      </c>
      <c r="M655" s="32" t="n">
        <v>0</v>
      </c>
      <c r="N655" s="32" t="n">
        <v>1</v>
      </c>
      <c r="O655" s="32" t="n">
        <v>0</v>
      </c>
      <c r="P655" s="32" t="n">
        <v>0</v>
      </c>
      <c r="Q655" s="32" t="n">
        <v>0</v>
      </c>
      <c r="R655" s="32" t="n">
        <v>0</v>
      </c>
      <c r="S655" s="32" t="n">
        <v>0</v>
      </c>
      <c r="T655" s="32" t="n">
        <v>0</v>
      </c>
      <c r="U655" s="32" t="n">
        <v>0</v>
      </c>
      <c r="V655" s="32" t="n">
        <v>0</v>
      </c>
      <c r="W655" s="32" t="n">
        <v>0</v>
      </c>
      <c r="X655" s="32" t="n">
        <v>0</v>
      </c>
      <c r="Y655" s="32" t="n">
        <v>1</v>
      </c>
      <c r="Z655" s="32" t="n">
        <v>0</v>
      </c>
      <c r="AA655" s="32" t="n">
        <v>0</v>
      </c>
      <c r="AB655" s="32" t="n">
        <v>0</v>
      </c>
      <c r="AC655" s="30" t="s">
        <v>756</v>
      </c>
      <c r="AD655" s="37" t="n">
        <f aca="false">B655-B654</f>
        <v>0.125</v>
      </c>
    </row>
    <row r="656" customFormat="false" ht="15" hidden="false" customHeight="false" outlineLevel="0" collapsed="false">
      <c r="A656" s="33" t="n">
        <v>653</v>
      </c>
      <c r="B656" s="34" t="n">
        <f aca="false">Summary!$B$5+IF(D656=1,0,IF(C656=1,Summary!$B$6,NA()))+(MATCH(1,E656:L656,0)-1)*Summary!$B$7+(MATCH(1,M656:T656,0)-1)*Summary!$B$8+(MATCH(1,U656:AB656,0)-1)*Summary!$B$9</f>
        <v>111.625</v>
      </c>
      <c r="C656" s="35" t="n">
        <v>1</v>
      </c>
      <c r="D656" s="35" t="n">
        <v>0</v>
      </c>
      <c r="E656" s="35" t="n">
        <v>0</v>
      </c>
      <c r="F656" s="35" t="n">
        <v>0</v>
      </c>
      <c r="G656" s="35" t="n">
        <v>0</v>
      </c>
      <c r="H656" s="35" t="n">
        <v>0</v>
      </c>
      <c r="I656" s="35" t="n">
        <v>0</v>
      </c>
      <c r="J656" s="35" t="n">
        <v>0</v>
      </c>
      <c r="K656" s="35" t="n">
        <v>1</v>
      </c>
      <c r="L656" s="35" t="n">
        <v>0</v>
      </c>
      <c r="M656" s="35" t="n">
        <v>0</v>
      </c>
      <c r="N656" s="35" t="n">
        <v>1</v>
      </c>
      <c r="O656" s="35" t="n">
        <v>0</v>
      </c>
      <c r="P656" s="35" t="n">
        <v>0</v>
      </c>
      <c r="Q656" s="35" t="n">
        <v>0</v>
      </c>
      <c r="R656" s="35" t="n">
        <v>0</v>
      </c>
      <c r="S656" s="35" t="n">
        <v>0</v>
      </c>
      <c r="T656" s="35" t="n">
        <v>0</v>
      </c>
      <c r="U656" s="35" t="n">
        <v>0</v>
      </c>
      <c r="V656" s="35" t="n">
        <v>0</v>
      </c>
      <c r="W656" s="35" t="n">
        <v>0</v>
      </c>
      <c r="X656" s="35" t="n">
        <v>0</v>
      </c>
      <c r="Y656" s="35" t="n">
        <v>0</v>
      </c>
      <c r="Z656" s="35" t="n">
        <v>1</v>
      </c>
      <c r="AA656" s="35" t="n">
        <v>0</v>
      </c>
      <c r="AB656" s="35" t="n">
        <v>0</v>
      </c>
      <c r="AC656" s="33" t="s">
        <v>757</v>
      </c>
      <c r="AD656" s="36" t="n">
        <f aca="false">B656-B655</f>
        <v>0.125</v>
      </c>
    </row>
    <row r="657" customFormat="false" ht="15" hidden="false" customHeight="false" outlineLevel="0" collapsed="false">
      <c r="A657" s="30" t="n">
        <v>654</v>
      </c>
      <c r="B657" s="31" t="n">
        <f aca="false">Summary!$B$5+IF(D657=1,0,IF(C657=1,Summary!$B$6,NA()))+(MATCH(1,E657:L657,0)-1)*Summary!$B$7+(MATCH(1,M657:T657,0)-1)*Summary!$B$8+(MATCH(1,U657:AB657,0)-1)*Summary!$B$9</f>
        <v>111.75</v>
      </c>
      <c r="C657" s="32" t="n">
        <v>1</v>
      </c>
      <c r="D657" s="32" t="n">
        <v>0</v>
      </c>
      <c r="E657" s="32" t="n">
        <v>0</v>
      </c>
      <c r="F657" s="32" t="n">
        <v>0</v>
      </c>
      <c r="G657" s="32" t="n">
        <v>0</v>
      </c>
      <c r="H657" s="32" t="n">
        <v>0</v>
      </c>
      <c r="I657" s="32" t="n">
        <v>0</v>
      </c>
      <c r="J657" s="32" t="n">
        <v>0</v>
      </c>
      <c r="K657" s="32" t="n">
        <v>1</v>
      </c>
      <c r="L657" s="32" t="n">
        <v>0</v>
      </c>
      <c r="M657" s="32" t="n">
        <v>0</v>
      </c>
      <c r="N657" s="32" t="n">
        <v>1</v>
      </c>
      <c r="O657" s="32" t="n">
        <v>0</v>
      </c>
      <c r="P657" s="32" t="n">
        <v>0</v>
      </c>
      <c r="Q657" s="32" t="n">
        <v>0</v>
      </c>
      <c r="R657" s="32" t="n">
        <v>0</v>
      </c>
      <c r="S657" s="32" t="n">
        <v>0</v>
      </c>
      <c r="T657" s="32" t="n">
        <v>0</v>
      </c>
      <c r="U657" s="32" t="n">
        <v>0</v>
      </c>
      <c r="V657" s="32" t="n">
        <v>0</v>
      </c>
      <c r="W657" s="32" t="n">
        <v>0</v>
      </c>
      <c r="X657" s="32" t="n">
        <v>0</v>
      </c>
      <c r="Y657" s="32" t="n">
        <v>0</v>
      </c>
      <c r="Z657" s="32" t="n">
        <v>0</v>
      </c>
      <c r="AA657" s="32" t="n">
        <v>1</v>
      </c>
      <c r="AB657" s="32" t="n">
        <v>0</v>
      </c>
      <c r="AC657" s="30" t="s">
        <v>758</v>
      </c>
      <c r="AD657" s="37" t="n">
        <f aca="false">B657-B656</f>
        <v>0.125</v>
      </c>
    </row>
    <row r="658" customFormat="false" ht="15" hidden="false" customHeight="false" outlineLevel="0" collapsed="false">
      <c r="A658" s="33" t="n">
        <v>655</v>
      </c>
      <c r="B658" s="34" t="n">
        <f aca="false">Summary!$B$5+IF(D658=1,0,IF(C658=1,Summary!$B$6,NA()))+(MATCH(1,E658:L658,0)-1)*Summary!$B$7+(MATCH(1,M658:T658,0)-1)*Summary!$B$8+(MATCH(1,U658:AB658,0)-1)*Summary!$B$9</f>
        <v>111.875</v>
      </c>
      <c r="C658" s="35" t="n">
        <v>1</v>
      </c>
      <c r="D658" s="35" t="n">
        <v>0</v>
      </c>
      <c r="E658" s="35" t="n">
        <v>0</v>
      </c>
      <c r="F658" s="35" t="n">
        <v>0</v>
      </c>
      <c r="G658" s="35" t="n">
        <v>0</v>
      </c>
      <c r="H658" s="35" t="n">
        <v>0</v>
      </c>
      <c r="I658" s="35" t="n">
        <v>0</v>
      </c>
      <c r="J658" s="35" t="n">
        <v>0</v>
      </c>
      <c r="K658" s="35" t="n">
        <v>1</v>
      </c>
      <c r="L658" s="35" t="n">
        <v>0</v>
      </c>
      <c r="M658" s="35" t="n">
        <v>0</v>
      </c>
      <c r="N658" s="35" t="n">
        <v>1</v>
      </c>
      <c r="O658" s="35" t="n">
        <v>0</v>
      </c>
      <c r="P658" s="35" t="n">
        <v>0</v>
      </c>
      <c r="Q658" s="35" t="n">
        <v>0</v>
      </c>
      <c r="R658" s="35" t="n">
        <v>0</v>
      </c>
      <c r="S658" s="35" t="n">
        <v>0</v>
      </c>
      <c r="T658" s="35" t="n">
        <v>0</v>
      </c>
      <c r="U658" s="35" t="n">
        <v>0</v>
      </c>
      <c r="V658" s="35" t="n">
        <v>0</v>
      </c>
      <c r="W658" s="35" t="n">
        <v>0</v>
      </c>
      <c r="X658" s="35" t="n">
        <v>0</v>
      </c>
      <c r="Y658" s="35" t="n">
        <v>0</v>
      </c>
      <c r="Z658" s="35" t="n">
        <v>0</v>
      </c>
      <c r="AA658" s="35" t="n">
        <v>0</v>
      </c>
      <c r="AB658" s="35" t="n">
        <v>1</v>
      </c>
      <c r="AC658" s="33" t="s">
        <v>759</v>
      </c>
      <c r="AD658" s="36" t="n">
        <f aca="false">B658-B657</f>
        <v>0.125</v>
      </c>
    </row>
    <row r="659" customFormat="false" ht="15" hidden="false" customHeight="false" outlineLevel="0" collapsed="false">
      <c r="A659" s="30" t="n">
        <v>656</v>
      </c>
      <c r="B659" s="31" t="n">
        <f aca="false">Summary!$B$5+IF(D659=1,0,IF(C659=1,Summary!$B$6,NA()))+(MATCH(1,E659:L659,0)-1)*Summary!$B$7+(MATCH(1,M659:T659,0)-1)*Summary!$B$8+(MATCH(1,U659:AB659,0)-1)*Summary!$B$9</f>
        <v>112</v>
      </c>
      <c r="C659" s="32" t="n">
        <v>1</v>
      </c>
      <c r="D659" s="32" t="n">
        <v>0</v>
      </c>
      <c r="E659" s="32" t="n">
        <v>0</v>
      </c>
      <c r="F659" s="32" t="n">
        <v>0</v>
      </c>
      <c r="G659" s="32" t="n">
        <v>0</v>
      </c>
      <c r="H659" s="32" t="n">
        <v>0</v>
      </c>
      <c r="I659" s="32" t="n">
        <v>0</v>
      </c>
      <c r="J659" s="32" t="n">
        <v>0</v>
      </c>
      <c r="K659" s="32" t="n">
        <v>1</v>
      </c>
      <c r="L659" s="32" t="n">
        <v>0</v>
      </c>
      <c r="M659" s="32" t="n">
        <v>0</v>
      </c>
      <c r="N659" s="32" t="n">
        <v>0</v>
      </c>
      <c r="O659" s="32" t="n">
        <v>1</v>
      </c>
      <c r="P659" s="32" t="n">
        <v>0</v>
      </c>
      <c r="Q659" s="32" t="n">
        <v>0</v>
      </c>
      <c r="R659" s="32" t="n">
        <v>0</v>
      </c>
      <c r="S659" s="32" t="n">
        <v>0</v>
      </c>
      <c r="T659" s="32" t="n">
        <v>0</v>
      </c>
      <c r="U659" s="32" t="n">
        <v>1</v>
      </c>
      <c r="V659" s="32" t="n">
        <v>0</v>
      </c>
      <c r="W659" s="32" t="n">
        <v>0</v>
      </c>
      <c r="X659" s="32" t="n">
        <v>0</v>
      </c>
      <c r="Y659" s="32" t="n">
        <v>0</v>
      </c>
      <c r="Z659" s="32" t="n">
        <v>0</v>
      </c>
      <c r="AA659" s="32" t="n">
        <v>0</v>
      </c>
      <c r="AB659" s="32" t="n">
        <v>0</v>
      </c>
      <c r="AC659" s="30" t="s">
        <v>760</v>
      </c>
      <c r="AD659" s="37" t="n">
        <f aca="false">B659-B658</f>
        <v>0.125</v>
      </c>
    </row>
    <row r="660" customFormat="false" ht="15" hidden="false" customHeight="false" outlineLevel="0" collapsed="false">
      <c r="A660" s="33" t="n">
        <v>657</v>
      </c>
      <c r="B660" s="34" t="n">
        <f aca="false">Summary!$B$5+IF(D660=1,0,IF(C660=1,Summary!$B$6,NA()))+(MATCH(1,E660:L660,0)-1)*Summary!$B$7+(MATCH(1,M660:T660,0)-1)*Summary!$B$8+(MATCH(1,U660:AB660,0)-1)*Summary!$B$9</f>
        <v>112.125</v>
      </c>
      <c r="C660" s="35" t="n">
        <v>1</v>
      </c>
      <c r="D660" s="35" t="n">
        <v>0</v>
      </c>
      <c r="E660" s="35" t="n">
        <v>0</v>
      </c>
      <c r="F660" s="35" t="n">
        <v>0</v>
      </c>
      <c r="G660" s="35" t="n">
        <v>0</v>
      </c>
      <c r="H660" s="35" t="n">
        <v>0</v>
      </c>
      <c r="I660" s="35" t="n">
        <v>0</v>
      </c>
      <c r="J660" s="35" t="n">
        <v>0</v>
      </c>
      <c r="K660" s="35" t="n">
        <v>1</v>
      </c>
      <c r="L660" s="35" t="n">
        <v>0</v>
      </c>
      <c r="M660" s="35" t="n">
        <v>0</v>
      </c>
      <c r="N660" s="35" t="n">
        <v>0</v>
      </c>
      <c r="O660" s="35" t="n">
        <v>1</v>
      </c>
      <c r="P660" s="35" t="n">
        <v>0</v>
      </c>
      <c r="Q660" s="35" t="n">
        <v>0</v>
      </c>
      <c r="R660" s="35" t="n">
        <v>0</v>
      </c>
      <c r="S660" s="35" t="n">
        <v>0</v>
      </c>
      <c r="T660" s="35" t="n">
        <v>0</v>
      </c>
      <c r="U660" s="35" t="n">
        <v>0</v>
      </c>
      <c r="V660" s="35" t="n">
        <v>1</v>
      </c>
      <c r="W660" s="35" t="n">
        <v>0</v>
      </c>
      <c r="X660" s="35" t="n">
        <v>0</v>
      </c>
      <c r="Y660" s="35" t="n">
        <v>0</v>
      </c>
      <c r="Z660" s="35" t="n">
        <v>0</v>
      </c>
      <c r="AA660" s="35" t="n">
        <v>0</v>
      </c>
      <c r="AB660" s="35" t="n">
        <v>0</v>
      </c>
      <c r="AC660" s="33" t="s">
        <v>761</v>
      </c>
      <c r="AD660" s="36" t="n">
        <f aca="false">B660-B659</f>
        <v>0.125</v>
      </c>
    </row>
    <row r="661" customFormat="false" ht="15" hidden="false" customHeight="false" outlineLevel="0" collapsed="false">
      <c r="A661" s="30" t="n">
        <v>658</v>
      </c>
      <c r="B661" s="31" t="n">
        <f aca="false">Summary!$B$5+IF(D661=1,0,IF(C661=1,Summary!$B$6,NA()))+(MATCH(1,E661:L661,0)-1)*Summary!$B$7+(MATCH(1,M661:T661,0)-1)*Summary!$B$8+(MATCH(1,U661:AB661,0)-1)*Summary!$B$9</f>
        <v>112.25</v>
      </c>
      <c r="C661" s="32" t="n">
        <v>1</v>
      </c>
      <c r="D661" s="32" t="n">
        <v>0</v>
      </c>
      <c r="E661" s="32" t="n">
        <v>0</v>
      </c>
      <c r="F661" s="32" t="n">
        <v>0</v>
      </c>
      <c r="G661" s="32" t="n">
        <v>0</v>
      </c>
      <c r="H661" s="32" t="n">
        <v>0</v>
      </c>
      <c r="I661" s="32" t="n">
        <v>0</v>
      </c>
      <c r="J661" s="32" t="n">
        <v>0</v>
      </c>
      <c r="K661" s="32" t="n">
        <v>1</v>
      </c>
      <c r="L661" s="32" t="n">
        <v>0</v>
      </c>
      <c r="M661" s="32" t="n">
        <v>0</v>
      </c>
      <c r="N661" s="32" t="n">
        <v>0</v>
      </c>
      <c r="O661" s="32" t="n">
        <v>1</v>
      </c>
      <c r="P661" s="32" t="n">
        <v>0</v>
      </c>
      <c r="Q661" s="32" t="n">
        <v>0</v>
      </c>
      <c r="R661" s="32" t="n">
        <v>0</v>
      </c>
      <c r="S661" s="32" t="n">
        <v>0</v>
      </c>
      <c r="T661" s="32" t="n">
        <v>0</v>
      </c>
      <c r="U661" s="32" t="n">
        <v>0</v>
      </c>
      <c r="V661" s="32" t="n">
        <v>0</v>
      </c>
      <c r="W661" s="32" t="n">
        <v>1</v>
      </c>
      <c r="X661" s="32" t="n">
        <v>0</v>
      </c>
      <c r="Y661" s="32" t="n">
        <v>0</v>
      </c>
      <c r="Z661" s="32" t="n">
        <v>0</v>
      </c>
      <c r="AA661" s="32" t="n">
        <v>0</v>
      </c>
      <c r="AB661" s="32" t="n">
        <v>0</v>
      </c>
      <c r="AC661" s="30" t="s">
        <v>762</v>
      </c>
      <c r="AD661" s="37" t="n">
        <f aca="false">B661-B660</f>
        <v>0.125</v>
      </c>
    </row>
    <row r="662" customFormat="false" ht="15" hidden="false" customHeight="false" outlineLevel="0" collapsed="false">
      <c r="A662" s="33" t="n">
        <v>659</v>
      </c>
      <c r="B662" s="34" t="n">
        <f aca="false">Summary!$B$5+IF(D662=1,0,IF(C662=1,Summary!$B$6,NA()))+(MATCH(1,E662:L662,0)-1)*Summary!$B$7+(MATCH(1,M662:T662,0)-1)*Summary!$B$8+(MATCH(1,U662:AB662,0)-1)*Summary!$B$9</f>
        <v>112.375</v>
      </c>
      <c r="C662" s="35" t="n">
        <v>1</v>
      </c>
      <c r="D662" s="35" t="n">
        <v>0</v>
      </c>
      <c r="E662" s="35" t="n">
        <v>0</v>
      </c>
      <c r="F662" s="35" t="n">
        <v>0</v>
      </c>
      <c r="G662" s="35" t="n">
        <v>0</v>
      </c>
      <c r="H662" s="35" t="n">
        <v>0</v>
      </c>
      <c r="I662" s="35" t="n">
        <v>0</v>
      </c>
      <c r="J662" s="35" t="n">
        <v>0</v>
      </c>
      <c r="K662" s="35" t="n">
        <v>1</v>
      </c>
      <c r="L662" s="35" t="n">
        <v>0</v>
      </c>
      <c r="M662" s="35" t="n">
        <v>0</v>
      </c>
      <c r="N662" s="35" t="n">
        <v>0</v>
      </c>
      <c r="O662" s="35" t="n">
        <v>1</v>
      </c>
      <c r="P662" s="35" t="n">
        <v>0</v>
      </c>
      <c r="Q662" s="35" t="n">
        <v>0</v>
      </c>
      <c r="R662" s="35" t="n">
        <v>0</v>
      </c>
      <c r="S662" s="35" t="n">
        <v>0</v>
      </c>
      <c r="T662" s="35" t="n">
        <v>0</v>
      </c>
      <c r="U662" s="35" t="n">
        <v>0</v>
      </c>
      <c r="V662" s="35" t="n">
        <v>0</v>
      </c>
      <c r="W662" s="35" t="n">
        <v>0</v>
      </c>
      <c r="X662" s="35" t="n">
        <v>1</v>
      </c>
      <c r="Y662" s="35" t="n">
        <v>0</v>
      </c>
      <c r="Z662" s="35" t="n">
        <v>0</v>
      </c>
      <c r="AA662" s="35" t="n">
        <v>0</v>
      </c>
      <c r="AB662" s="35" t="n">
        <v>0</v>
      </c>
      <c r="AC662" s="33" t="s">
        <v>763</v>
      </c>
      <c r="AD662" s="36" t="n">
        <f aca="false">B662-B661</f>
        <v>0.125</v>
      </c>
    </row>
    <row r="663" customFormat="false" ht="15" hidden="false" customHeight="false" outlineLevel="0" collapsed="false">
      <c r="A663" s="30" t="n">
        <v>660</v>
      </c>
      <c r="B663" s="31" t="n">
        <f aca="false">Summary!$B$5+IF(D663=1,0,IF(C663=1,Summary!$B$6,NA()))+(MATCH(1,E663:L663,0)-1)*Summary!$B$7+(MATCH(1,M663:T663,0)-1)*Summary!$B$8+(MATCH(1,U663:AB663,0)-1)*Summary!$B$9</f>
        <v>112.5</v>
      </c>
      <c r="C663" s="32" t="n">
        <v>1</v>
      </c>
      <c r="D663" s="32" t="n">
        <v>0</v>
      </c>
      <c r="E663" s="32" t="n">
        <v>0</v>
      </c>
      <c r="F663" s="32" t="n">
        <v>0</v>
      </c>
      <c r="G663" s="32" t="n">
        <v>0</v>
      </c>
      <c r="H663" s="32" t="n">
        <v>0</v>
      </c>
      <c r="I663" s="32" t="n">
        <v>0</v>
      </c>
      <c r="J663" s="32" t="n">
        <v>0</v>
      </c>
      <c r="K663" s="32" t="n">
        <v>1</v>
      </c>
      <c r="L663" s="32" t="n">
        <v>0</v>
      </c>
      <c r="M663" s="32" t="n">
        <v>0</v>
      </c>
      <c r="N663" s="32" t="n">
        <v>0</v>
      </c>
      <c r="O663" s="32" t="n">
        <v>1</v>
      </c>
      <c r="P663" s="32" t="n">
        <v>0</v>
      </c>
      <c r="Q663" s="32" t="n">
        <v>0</v>
      </c>
      <c r="R663" s="32" t="n">
        <v>0</v>
      </c>
      <c r="S663" s="32" t="n">
        <v>0</v>
      </c>
      <c r="T663" s="32" t="n">
        <v>0</v>
      </c>
      <c r="U663" s="32" t="n">
        <v>0</v>
      </c>
      <c r="V663" s="32" t="n">
        <v>0</v>
      </c>
      <c r="W663" s="32" t="n">
        <v>0</v>
      </c>
      <c r="X663" s="32" t="n">
        <v>0</v>
      </c>
      <c r="Y663" s="32" t="n">
        <v>1</v>
      </c>
      <c r="Z663" s="32" t="n">
        <v>0</v>
      </c>
      <c r="AA663" s="32" t="n">
        <v>0</v>
      </c>
      <c r="AB663" s="32" t="n">
        <v>0</v>
      </c>
      <c r="AC663" s="30" t="s">
        <v>764</v>
      </c>
      <c r="AD663" s="37" t="n">
        <f aca="false">B663-B662</f>
        <v>0.125</v>
      </c>
    </row>
    <row r="664" customFormat="false" ht="15" hidden="false" customHeight="false" outlineLevel="0" collapsed="false">
      <c r="A664" s="33" t="n">
        <v>661</v>
      </c>
      <c r="B664" s="34" t="n">
        <f aca="false">Summary!$B$5+IF(D664=1,0,IF(C664=1,Summary!$B$6,NA()))+(MATCH(1,E664:L664,0)-1)*Summary!$B$7+(MATCH(1,M664:T664,0)-1)*Summary!$B$8+(MATCH(1,U664:AB664,0)-1)*Summary!$B$9</f>
        <v>112.625</v>
      </c>
      <c r="C664" s="35" t="n">
        <v>1</v>
      </c>
      <c r="D664" s="35" t="n">
        <v>0</v>
      </c>
      <c r="E664" s="35" t="n">
        <v>0</v>
      </c>
      <c r="F664" s="35" t="n">
        <v>0</v>
      </c>
      <c r="G664" s="35" t="n">
        <v>0</v>
      </c>
      <c r="H664" s="35" t="n">
        <v>0</v>
      </c>
      <c r="I664" s="35" t="n">
        <v>0</v>
      </c>
      <c r="J664" s="35" t="n">
        <v>0</v>
      </c>
      <c r="K664" s="35" t="n">
        <v>1</v>
      </c>
      <c r="L664" s="35" t="n">
        <v>0</v>
      </c>
      <c r="M664" s="35" t="n">
        <v>0</v>
      </c>
      <c r="N664" s="35" t="n">
        <v>0</v>
      </c>
      <c r="O664" s="35" t="n">
        <v>1</v>
      </c>
      <c r="P664" s="35" t="n">
        <v>0</v>
      </c>
      <c r="Q664" s="35" t="n">
        <v>0</v>
      </c>
      <c r="R664" s="35" t="n">
        <v>0</v>
      </c>
      <c r="S664" s="35" t="n">
        <v>0</v>
      </c>
      <c r="T664" s="35" t="n">
        <v>0</v>
      </c>
      <c r="U664" s="35" t="n">
        <v>0</v>
      </c>
      <c r="V664" s="35" t="n">
        <v>0</v>
      </c>
      <c r="W664" s="35" t="n">
        <v>0</v>
      </c>
      <c r="X664" s="35" t="n">
        <v>0</v>
      </c>
      <c r="Y664" s="35" t="n">
        <v>0</v>
      </c>
      <c r="Z664" s="35" t="n">
        <v>1</v>
      </c>
      <c r="AA664" s="35" t="n">
        <v>0</v>
      </c>
      <c r="AB664" s="35" t="n">
        <v>0</v>
      </c>
      <c r="AC664" s="33" t="s">
        <v>765</v>
      </c>
      <c r="AD664" s="36" t="n">
        <f aca="false">B664-B663</f>
        <v>0.125</v>
      </c>
    </row>
    <row r="665" customFormat="false" ht="15" hidden="false" customHeight="false" outlineLevel="0" collapsed="false">
      <c r="A665" s="30" t="n">
        <v>662</v>
      </c>
      <c r="B665" s="31" t="n">
        <f aca="false">Summary!$B$5+IF(D665=1,0,IF(C665=1,Summary!$B$6,NA()))+(MATCH(1,E665:L665,0)-1)*Summary!$B$7+(MATCH(1,M665:T665,0)-1)*Summary!$B$8+(MATCH(1,U665:AB665,0)-1)*Summary!$B$9</f>
        <v>112.75</v>
      </c>
      <c r="C665" s="32" t="n">
        <v>1</v>
      </c>
      <c r="D665" s="32" t="n">
        <v>0</v>
      </c>
      <c r="E665" s="32" t="n">
        <v>0</v>
      </c>
      <c r="F665" s="32" t="n">
        <v>0</v>
      </c>
      <c r="G665" s="32" t="n">
        <v>0</v>
      </c>
      <c r="H665" s="32" t="n">
        <v>0</v>
      </c>
      <c r="I665" s="32" t="n">
        <v>0</v>
      </c>
      <c r="J665" s="32" t="n">
        <v>0</v>
      </c>
      <c r="K665" s="32" t="n">
        <v>1</v>
      </c>
      <c r="L665" s="32" t="n">
        <v>0</v>
      </c>
      <c r="M665" s="32" t="n">
        <v>0</v>
      </c>
      <c r="N665" s="32" t="n">
        <v>0</v>
      </c>
      <c r="O665" s="32" t="n">
        <v>1</v>
      </c>
      <c r="P665" s="32" t="n">
        <v>0</v>
      </c>
      <c r="Q665" s="32" t="n">
        <v>0</v>
      </c>
      <c r="R665" s="32" t="n">
        <v>0</v>
      </c>
      <c r="S665" s="32" t="n">
        <v>0</v>
      </c>
      <c r="T665" s="32" t="n">
        <v>0</v>
      </c>
      <c r="U665" s="32" t="n">
        <v>0</v>
      </c>
      <c r="V665" s="32" t="n">
        <v>0</v>
      </c>
      <c r="W665" s="32" t="n">
        <v>0</v>
      </c>
      <c r="X665" s="32" t="n">
        <v>0</v>
      </c>
      <c r="Y665" s="32" t="n">
        <v>0</v>
      </c>
      <c r="Z665" s="32" t="n">
        <v>0</v>
      </c>
      <c r="AA665" s="32" t="n">
        <v>1</v>
      </c>
      <c r="AB665" s="32" t="n">
        <v>0</v>
      </c>
      <c r="AC665" s="30" t="s">
        <v>766</v>
      </c>
      <c r="AD665" s="37" t="n">
        <f aca="false">B665-B664</f>
        <v>0.125</v>
      </c>
    </row>
    <row r="666" customFormat="false" ht="15" hidden="false" customHeight="false" outlineLevel="0" collapsed="false">
      <c r="A666" s="33" t="n">
        <v>663</v>
      </c>
      <c r="B666" s="34" t="n">
        <f aca="false">Summary!$B$5+IF(D666=1,0,IF(C666=1,Summary!$B$6,NA()))+(MATCH(1,E666:L666,0)-1)*Summary!$B$7+(MATCH(1,M666:T666,0)-1)*Summary!$B$8+(MATCH(1,U666:AB666,0)-1)*Summary!$B$9</f>
        <v>112.875</v>
      </c>
      <c r="C666" s="35" t="n">
        <v>1</v>
      </c>
      <c r="D666" s="35" t="n">
        <v>0</v>
      </c>
      <c r="E666" s="35" t="n">
        <v>0</v>
      </c>
      <c r="F666" s="35" t="n">
        <v>0</v>
      </c>
      <c r="G666" s="35" t="n">
        <v>0</v>
      </c>
      <c r="H666" s="35" t="n">
        <v>0</v>
      </c>
      <c r="I666" s="35" t="n">
        <v>0</v>
      </c>
      <c r="J666" s="35" t="n">
        <v>0</v>
      </c>
      <c r="K666" s="35" t="n">
        <v>1</v>
      </c>
      <c r="L666" s="35" t="n">
        <v>0</v>
      </c>
      <c r="M666" s="35" t="n">
        <v>0</v>
      </c>
      <c r="N666" s="35" t="n">
        <v>0</v>
      </c>
      <c r="O666" s="35" t="n">
        <v>1</v>
      </c>
      <c r="P666" s="35" t="n">
        <v>0</v>
      </c>
      <c r="Q666" s="35" t="n">
        <v>0</v>
      </c>
      <c r="R666" s="35" t="n">
        <v>0</v>
      </c>
      <c r="S666" s="35" t="n">
        <v>0</v>
      </c>
      <c r="T666" s="35" t="n">
        <v>0</v>
      </c>
      <c r="U666" s="35" t="n">
        <v>0</v>
      </c>
      <c r="V666" s="35" t="n">
        <v>0</v>
      </c>
      <c r="W666" s="35" t="n">
        <v>0</v>
      </c>
      <c r="X666" s="35" t="n">
        <v>0</v>
      </c>
      <c r="Y666" s="35" t="n">
        <v>0</v>
      </c>
      <c r="Z666" s="35" t="n">
        <v>0</v>
      </c>
      <c r="AA666" s="35" t="n">
        <v>0</v>
      </c>
      <c r="AB666" s="35" t="n">
        <v>1</v>
      </c>
      <c r="AC666" s="33" t="s">
        <v>767</v>
      </c>
      <c r="AD666" s="36" t="n">
        <f aca="false">B666-B665</f>
        <v>0.125</v>
      </c>
    </row>
    <row r="667" customFormat="false" ht="15" hidden="false" customHeight="false" outlineLevel="0" collapsed="false">
      <c r="A667" s="30" t="n">
        <v>664</v>
      </c>
      <c r="B667" s="31" t="n">
        <f aca="false">Summary!$B$5+IF(D667=1,0,IF(C667=1,Summary!$B$6,NA()))+(MATCH(1,E667:L667,0)-1)*Summary!$B$7+(MATCH(1,M667:T667,0)-1)*Summary!$B$8+(MATCH(1,U667:AB667,0)-1)*Summary!$B$9</f>
        <v>113</v>
      </c>
      <c r="C667" s="32" t="n">
        <v>1</v>
      </c>
      <c r="D667" s="32" t="n">
        <v>0</v>
      </c>
      <c r="E667" s="32" t="n">
        <v>0</v>
      </c>
      <c r="F667" s="32" t="n">
        <v>0</v>
      </c>
      <c r="G667" s="32" t="n">
        <v>0</v>
      </c>
      <c r="H667" s="32" t="n">
        <v>0</v>
      </c>
      <c r="I667" s="32" t="n">
        <v>0</v>
      </c>
      <c r="J667" s="32" t="n">
        <v>0</v>
      </c>
      <c r="K667" s="32" t="n">
        <v>1</v>
      </c>
      <c r="L667" s="32" t="n">
        <v>0</v>
      </c>
      <c r="M667" s="32" t="n">
        <v>0</v>
      </c>
      <c r="N667" s="32" t="n">
        <v>0</v>
      </c>
      <c r="O667" s="32" t="n">
        <v>0</v>
      </c>
      <c r="P667" s="32" t="n">
        <v>1</v>
      </c>
      <c r="Q667" s="32" t="n">
        <v>0</v>
      </c>
      <c r="R667" s="32" t="n">
        <v>0</v>
      </c>
      <c r="S667" s="32" t="n">
        <v>0</v>
      </c>
      <c r="T667" s="32" t="n">
        <v>0</v>
      </c>
      <c r="U667" s="32" t="n">
        <v>1</v>
      </c>
      <c r="V667" s="32" t="n">
        <v>0</v>
      </c>
      <c r="W667" s="32" t="n">
        <v>0</v>
      </c>
      <c r="X667" s="32" t="n">
        <v>0</v>
      </c>
      <c r="Y667" s="32" t="n">
        <v>0</v>
      </c>
      <c r="Z667" s="32" t="n">
        <v>0</v>
      </c>
      <c r="AA667" s="32" t="n">
        <v>0</v>
      </c>
      <c r="AB667" s="32" t="n">
        <v>0</v>
      </c>
      <c r="AC667" s="30" t="s">
        <v>768</v>
      </c>
      <c r="AD667" s="37" t="n">
        <f aca="false">B667-B666</f>
        <v>0.125</v>
      </c>
    </row>
    <row r="668" customFormat="false" ht="15" hidden="false" customHeight="false" outlineLevel="0" collapsed="false">
      <c r="A668" s="33" t="n">
        <v>665</v>
      </c>
      <c r="B668" s="34" t="n">
        <f aca="false">Summary!$B$5+IF(D668=1,0,IF(C668=1,Summary!$B$6,NA()))+(MATCH(1,E668:L668,0)-1)*Summary!$B$7+(MATCH(1,M668:T668,0)-1)*Summary!$B$8+(MATCH(1,U668:AB668,0)-1)*Summary!$B$9</f>
        <v>113.125</v>
      </c>
      <c r="C668" s="35" t="n">
        <v>1</v>
      </c>
      <c r="D668" s="35" t="n">
        <v>0</v>
      </c>
      <c r="E668" s="35" t="n">
        <v>0</v>
      </c>
      <c r="F668" s="35" t="n">
        <v>0</v>
      </c>
      <c r="G668" s="35" t="n">
        <v>0</v>
      </c>
      <c r="H668" s="35" t="n">
        <v>0</v>
      </c>
      <c r="I668" s="35" t="n">
        <v>0</v>
      </c>
      <c r="J668" s="35" t="n">
        <v>0</v>
      </c>
      <c r="K668" s="35" t="n">
        <v>1</v>
      </c>
      <c r="L668" s="35" t="n">
        <v>0</v>
      </c>
      <c r="M668" s="35" t="n">
        <v>0</v>
      </c>
      <c r="N668" s="35" t="n">
        <v>0</v>
      </c>
      <c r="O668" s="35" t="n">
        <v>0</v>
      </c>
      <c r="P668" s="35" t="n">
        <v>1</v>
      </c>
      <c r="Q668" s="35" t="n">
        <v>0</v>
      </c>
      <c r="R668" s="35" t="n">
        <v>0</v>
      </c>
      <c r="S668" s="35" t="n">
        <v>0</v>
      </c>
      <c r="T668" s="35" t="n">
        <v>0</v>
      </c>
      <c r="U668" s="35" t="n">
        <v>0</v>
      </c>
      <c r="V668" s="35" t="n">
        <v>1</v>
      </c>
      <c r="W668" s="35" t="n">
        <v>0</v>
      </c>
      <c r="X668" s="35" t="n">
        <v>0</v>
      </c>
      <c r="Y668" s="35" t="n">
        <v>0</v>
      </c>
      <c r="Z668" s="35" t="n">
        <v>0</v>
      </c>
      <c r="AA668" s="35" t="n">
        <v>0</v>
      </c>
      <c r="AB668" s="35" t="n">
        <v>0</v>
      </c>
      <c r="AC668" s="33" t="s">
        <v>769</v>
      </c>
      <c r="AD668" s="36" t="n">
        <f aca="false">B668-B667</f>
        <v>0.125</v>
      </c>
    </row>
    <row r="669" customFormat="false" ht="15" hidden="false" customHeight="false" outlineLevel="0" collapsed="false">
      <c r="A669" s="30" t="n">
        <v>666</v>
      </c>
      <c r="B669" s="31" t="n">
        <f aca="false">Summary!$B$5+IF(D669=1,0,IF(C669=1,Summary!$B$6,NA()))+(MATCH(1,E669:L669,0)-1)*Summary!$B$7+(MATCH(1,M669:T669,0)-1)*Summary!$B$8+(MATCH(1,U669:AB669,0)-1)*Summary!$B$9</f>
        <v>113.25</v>
      </c>
      <c r="C669" s="32" t="n">
        <v>1</v>
      </c>
      <c r="D669" s="32" t="n">
        <v>0</v>
      </c>
      <c r="E669" s="32" t="n">
        <v>0</v>
      </c>
      <c r="F669" s="32" t="n">
        <v>0</v>
      </c>
      <c r="G669" s="32" t="n">
        <v>0</v>
      </c>
      <c r="H669" s="32" t="n">
        <v>0</v>
      </c>
      <c r="I669" s="32" t="n">
        <v>0</v>
      </c>
      <c r="J669" s="32" t="n">
        <v>0</v>
      </c>
      <c r="K669" s="32" t="n">
        <v>1</v>
      </c>
      <c r="L669" s="32" t="n">
        <v>0</v>
      </c>
      <c r="M669" s="32" t="n">
        <v>0</v>
      </c>
      <c r="N669" s="32" t="n">
        <v>0</v>
      </c>
      <c r="O669" s="32" t="n">
        <v>0</v>
      </c>
      <c r="P669" s="32" t="n">
        <v>1</v>
      </c>
      <c r="Q669" s="32" t="n">
        <v>0</v>
      </c>
      <c r="R669" s="32" t="n">
        <v>0</v>
      </c>
      <c r="S669" s="32" t="n">
        <v>0</v>
      </c>
      <c r="T669" s="32" t="n">
        <v>0</v>
      </c>
      <c r="U669" s="32" t="n">
        <v>0</v>
      </c>
      <c r="V669" s="32" t="n">
        <v>0</v>
      </c>
      <c r="W669" s="32" t="n">
        <v>1</v>
      </c>
      <c r="X669" s="32" t="n">
        <v>0</v>
      </c>
      <c r="Y669" s="32" t="n">
        <v>0</v>
      </c>
      <c r="Z669" s="32" t="n">
        <v>0</v>
      </c>
      <c r="AA669" s="32" t="n">
        <v>0</v>
      </c>
      <c r="AB669" s="32" t="n">
        <v>0</v>
      </c>
      <c r="AC669" s="30" t="s">
        <v>770</v>
      </c>
      <c r="AD669" s="37" t="n">
        <f aca="false">B669-B668</f>
        <v>0.125</v>
      </c>
    </row>
    <row r="670" customFormat="false" ht="15" hidden="false" customHeight="false" outlineLevel="0" collapsed="false">
      <c r="A670" s="33" t="n">
        <v>667</v>
      </c>
      <c r="B670" s="34" t="n">
        <f aca="false">Summary!$B$5+IF(D670=1,0,IF(C670=1,Summary!$B$6,NA()))+(MATCH(1,E670:L670,0)-1)*Summary!$B$7+(MATCH(1,M670:T670,0)-1)*Summary!$B$8+(MATCH(1,U670:AB670,0)-1)*Summary!$B$9</f>
        <v>113.375</v>
      </c>
      <c r="C670" s="35" t="n">
        <v>1</v>
      </c>
      <c r="D670" s="35" t="n">
        <v>0</v>
      </c>
      <c r="E670" s="35" t="n">
        <v>0</v>
      </c>
      <c r="F670" s="35" t="n">
        <v>0</v>
      </c>
      <c r="G670" s="35" t="n">
        <v>0</v>
      </c>
      <c r="H670" s="35" t="n">
        <v>0</v>
      </c>
      <c r="I670" s="35" t="n">
        <v>0</v>
      </c>
      <c r="J670" s="35" t="n">
        <v>0</v>
      </c>
      <c r="K670" s="35" t="n">
        <v>1</v>
      </c>
      <c r="L670" s="35" t="n">
        <v>0</v>
      </c>
      <c r="M670" s="35" t="n">
        <v>0</v>
      </c>
      <c r="N670" s="35" t="n">
        <v>0</v>
      </c>
      <c r="O670" s="35" t="n">
        <v>0</v>
      </c>
      <c r="P670" s="35" t="n">
        <v>1</v>
      </c>
      <c r="Q670" s="35" t="n">
        <v>0</v>
      </c>
      <c r="R670" s="35" t="n">
        <v>0</v>
      </c>
      <c r="S670" s="35" t="n">
        <v>0</v>
      </c>
      <c r="T670" s="35" t="n">
        <v>0</v>
      </c>
      <c r="U670" s="35" t="n">
        <v>0</v>
      </c>
      <c r="V670" s="35" t="n">
        <v>0</v>
      </c>
      <c r="W670" s="35" t="n">
        <v>0</v>
      </c>
      <c r="X670" s="35" t="n">
        <v>1</v>
      </c>
      <c r="Y670" s="35" t="n">
        <v>0</v>
      </c>
      <c r="Z670" s="35" t="n">
        <v>0</v>
      </c>
      <c r="AA670" s="35" t="n">
        <v>0</v>
      </c>
      <c r="AB670" s="35" t="n">
        <v>0</v>
      </c>
      <c r="AC670" s="33" t="s">
        <v>771</v>
      </c>
      <c r="AD670" s="36" t="n">
        <f aca="false">B670-B669</f>
        <v>0.125</v>
      </c>
    </row>
    <row r="671" customFormat="false" ht="15" hidden="false" customHeight="false" outlineLevel="0" collapsed="false">
      <c r="A671" s="30" t="n">
        <v>668</v>
      </c>
      <c r="B671" s="31" t="n">
        <f aca="false">Summary!$B$5+IF(D671=1,0,IF(C671=1,Summary!$B$6,NA()))+(MATCH(1,E671:L671,0)-1)*Summary!$B$7+(MATCH(1,M671:T671,0)-1)*Summary!$B$8+(MATCH(1,U671:AB671,0)-1)*Summary!$B$9</f>
        <v>113.5</v>
      </c>
      <c r="C671" s="32" t="n">
        <v>1</v>
      </c>
      <c r="D671" s="32" t="n">
        <v>0</v>
      </c>
      <c r="E671" s="32" t="n">
        <v>0</v>
      </c>
      <c r="F671" s="32" t="n">
        <v>0</v>
      </c>
      <c r="G671" s="32" t="n">
        <v>0</v>
      </c>
      <c r="H671" s="32" t="n">
        <v>0</v>
      </c>
      <c r="I671" s="32" t="n">
        <v>0</v>
      </c>
      <c r="J671" s="32" t="n">
        <v>0</v>
      </c>
      <c r="K671" s="32" t="n">
        <v>1</v>
      </c>
      <c r="L671" s="32" t="n">
        <v>0</v>
      </c>
      <c r="M671" s="32" t="n">
        <v>0</v>
      </c>
      <c r="N671" s="32" t="n">
        <v>0</v>
      </c>
      <c r="O671" s="32" t="n">
        <v>0</v>
      </c>
      <c r="P671" s="32" t="n">
        <v>1</v>
      </c>
      <c r="Q671" s="32" t="n">
        <v>0</v>
      </c>
      <c r="R671" s="32" t="n">
        <v>0</v>
      </c>
      <c r="S671" s="32" t="n">
        <v>0</v>
      </c>
      <c r="T671" s="32" t="n">
        <v>0</v>
      </c>
      <c r="U671" s="32" t="n">
        <v>0</v>
      </c>
      <c r="V671" s="32" t="n">
        <v>0</v>
      </c>
      <c r="W671" s="32" t="n">
        <v>0</v>
      </c>
      <c r="X671" s="32" t="n">
        <v>0</v>
      </c>
      <c r="Y671" s="32" t="n">
        <v>1</v>
      </c>
      <c r="Z671" s="32" t="n">
        <v>0</v>
      </c>
      <c r="AA671" s="32" t="n">
        <v>0</v>
      </c>
      <c r="AB671" s="32" t="n">
        <v>0</v>
      </c>
      <c r="AC671" s="30" t="s">
        <v>772</v>
      </c>
      <c r="AD671" s="37" t="n">
        <f aca="false">B671-B670</f>
        <v>0.125</v>
      </c>
    </row>
    <row r="672" customFormat="false" ht="15" hidden="false" customHeight="false" outlineLevel="0" collapsed="false">
      <c r="A672" s="33" t="n">
        <v>669</v>
      </c>
      <c r="B672" s="34" t="n">
        <f aca="false">Summary!$B$5+IF(D672=1,0,IF(C672=1,Summary!$B$6,NA()))+(MATCH(1,E672:L672,0)-1)*Summary!$B$7+(MATCH(1,M672:T672,0)-1)*Summary!$B$8+(MATCH(1,U672:AB672,0)-1)*Summary!$B$9</f>
        <v>113.625</v>
      </c>
      <c r="C672" s="35" t="n">
        <v>1</v>
      </c>
      <c r="D672" s="35" t="n">
        <v>0</v>
      </c>
      <c r="E672" s="35" t="n">
        <v>0</v>
      </c>
      <c r="F672" s="35" t="n">
        <v>0</v>
      </c>
      <c r="G672" s="35" t="n">
        <v>0</v>
      </c>
      <c r="H672" s="35" t="n">
        <v>0</v>
      </c>
      <c r="I672" s="35" t="n">
        <v>0</v>
      </c>
      <c r="J672" s="35" t="n">
        <v>0</v>
      </c>
      <c r="K672" s="35" t="n">
        <v>1</v>
      </c>
      <c r="L672" s="35" t="n">
        <v>0</v>
      </c>
      <c r="M672" s="35" t="n">
        <v>0</v>
      </c>
      <c r="N672" s="35" t="n">
        <v>0</v>
      </c>
      <c r="O672" s="35" t="n">
        <v>0</v>
      </c>
      <c r="P672" s="35" t="n">
        <v>1</v>
      </c>
      <c r="Q672" s="35" t="n">
        <v>0</v>
      </c>
      <c r="R672" s="35" t="n">
        <v>0</v>
      </c>
      <c r="S672" s="35" t="n">
        <v>0</v>
      </c>
      <c r="T672" s="35" t="n">
        <v>0</v>
      </c>
      <c r="U672" s="35" t="n">
        <v>0</v>
      </c>
      <c r="V672" s="35" t="n">
        <v>0</v>
      </c>
      <c r="W672" s="35" t="n">
        <v>0</v>
      </c>
      <c r="X672" s="35" t="n">
        <v>0</v>
      </c>
      <c r="Y672" s="35" t="n">
        <v>0</v>
      </c>
      <c r="Z672" s="35" t="n">
        <v>1</v>
      </c>
      <c r="AA672" s="35" t="n">
        <v>0</v>
      </c>
      <c r="AB672" s="35" t="n">
        <v>0</v>
      </c>
      <c r="AC672" s="33" t="s">
        <v>773</v>
      </c>
      <c r="AD672" s="36" t="n">
        <f aca="false">B672-B671</f>
        <v>0.125</v>
      </c>
    </row>
    <row r="673" customFormat="false" ht="15" hidden="false" customHeight="false" outlineLevel="0" collapsed="false">
      <c r="A673" s="30" t="n">
        <v>670</v>
      </c>
      <c r="B673" s="31" t="n">
        <f aca="false">Summary!$B$5+IF(D673=1,0,IF(C673=1,Summary!$B$6,NA()))+(MATCH(1,E673:L673,0)-1)*Summary!$B$7+(MATCH(1,M673:T673,0)-1)*Summary!$B$8+(MATCH(1,U673:AB673,0)-1)*Summary!$B$9</f>
        <v>113.75</v>
      </c>
      <c r="C673" s="32" t="n">
        <v>1</v>
      </c>
      <c r="D673" s="32" t="n">
        <v>0</v>
      </c>
      <c r="E673" s="32" t="n">
        <v>0</v>
      </c>
      <c r="F673" s="32" t="n">
        <v>0</v>
      </c>
      <c r="G673" s="32" t="n">
        <v>0</v>
      </c>
      <c r="H673" s="32" t="n">
        <v>0</v>
      </c>
      <c r="I673" s="32" t="n">
        <v>0</v>
      </c>
      <c r="J673" s="32" t="n">
        <v>0</v>
      </c>
      <c r="K673" s="32" t="n">
        <v>1</v>
      </c>
      <c r="L673" s="32" t="n">
        <v>0</v>
      </c>
      <c r="M673" s="32" t="n">
        <v>0</v>
      </c>
      <c r="N673" s="32" t="n">
        <v>0</v>
      </c>
      <c r="O673" s="32" t="n">
        <v>0</v>
      </c>
      <c r="P673" s="32" t="n">
        <v>1</v>
      </c>
      <c r="Q673" s="32" t="n">
        <v>0</v>
      </c>
      <c r="R673" s="32" t="n">
        <v>0</v>
      </c>
      <c r="S673" s="32" t="n">
        <v>0</v>
      </c>
      <c r="T673" s="32" t="n">
        <v>0</v>
      </c>
      <c r="U673" s="32" t="n">
        <v>0</v>
      </c>
      <c r="V673" s="32" t="n">
        <v>0</v>
      </c>
      <c r="W673" s="32" t="n">
        <v>0</v>
      </c>
      <c r="X673" s="32" t="n">
        <v>0</v>
      </c>
      <c r="Y673" s="32" t="n">
        <v>0</v>
      </c>
      <c r="Z673" s="32" t="n">
        <v>0</v>
      </c>
      <c r="AA673" s="32" t="n">
        <v>1</v>
      </c>
      <c r="AB673" s="32" t="n">
        <v>0</v>
      </c>
      <c r="AC673" s="30" t="s">
        <v>774</v>
      </c>
      <c r="AD673" s="37" t="n">
        <f aca="false">B673-B672</f>
        <v>0.125</v>
      </c>
    </row>
    <row r="674" customFormat="false" ht="15" hidden="false" customHeight="false" outlineLevel="0" collapsed="false">
      <c r="A674" s="33" t="n">
        <v>671</v>
      </c>
      <c r="B674" s="34" t="n">
        <f aca="false">Summary!$B$5+IF(D674=1,0,IF(C674=1,Summary!$B$6,NA()))+(MATCH(1,E674:L674,0)-1)*Summary!$B$7+(MATCH(1,M674:T674,0)-1)*Summary!$B$8+(MATCH(1,U674:AB674,0)-1)*Summary!$B$9</f>
        <v>113.875</v>
      </c>
      <c r="C674" s="35" t="n">
        <v>1</v>
      </c>
      <c r="D674" s="35" t="n">
        <v>0</v>
      </c>
      <c r="E674" s="35" t="n">
        <v>0</v>
      </c>
      <c r="F674" s="35" t="n">
        <v>0</v>
      </c>
      <c r="G674" s="35" t="n">
        <v>0</v>
      </c>
      <c r="H674" s="35" t="n">
        <v>0</v>
      </c>
      <c r="I674" s="35" t="n">
        <v>0</v>
      </c>
      <c r="J674" s="35" t="n">
        <v>0</v>
      </c>
      <c r="K674" s="35" t="n">
        <v>1</v>
      </c>
      <c r="L674" s="35" t="n">
        <v>0</v>
      </c>
      <c r="M674" s="35" t="n">
        <v>0</v>
      </c>
      <c r="N674" s="35" t="n">
        <v>0</v>
      </c>
      <c r="O674" s="35" t="n">
        <v>0</v>
      </c>
      <c r="P674" s="35" t="n">
        <v>1</v>
      </c>
      <c r="Q674" s="35" t="n">
        <v>0</v>
      </c>
      <c r="R674" s="35" t="n">
        <v>0</v>
      </c>
      <c r="S674" s="35" t="n">
        <v>0</v>
      </c>
      <c r="T674" s="35" t="n">
        <v>0</v>
      </c>
      <c r="U674" s="35" t="n">
        <v>0</v>
      </c>
      <c r="V674" s="35" t="n">
        <v>0</v>
      </c>
      <c r="W674" s="35" t="n">
        <v>0</v>
      </c>
      <c r="X674" s="35" t="n">
        <v>0</v>
      </c>
      <c r="Y674" s="35" t="n">
        <v>0</v>
      </c>
      <c r="Z674" s="35" t="n">
        <v>0</v>
      </c>
      <c r="AA674" s="35" t="n">
        <v>0</v>
      </c>
      <c r="AB674" s="35" t="n">
        <v>1</v>
      </c>
      <c r="AC674" s="33" t="s">
        <v>775</v>
      </c>
      <c r="AD674" s="36" t="n">
        <f aca="false">B674-B673</f>
        <v>0.125</v>
      </c>
    </row>
    <row r="675" customFormat="false" ht="15" hidden="false" customHeight="false" outlineLevel="0" collapsed="false">
      <c r="A675" s="30" t="n">
        <v>672</v>
      </c>
      <c r="B675" s="31" t="n">
        <f aca="false">Summary!$B$5+IF(D675=1,0,IF(C675=1,Summary!$B$6,NA()))+(MATCH(1,E675:L675,0)-1)*Summary!$B$7+(MATCH(1,M675:T675,0)-1)*Summary!$B$8+(MATCH(1,U675:AB675,0)-1)*Summary!$B$9</f>
        <v>114</v>
      </c>
      <c r="C675" s="32" t="n">
        <v>1</v>
      </c>
      <c r="D675" s="32" t="n">
        <v>0</v>
      </c>
      <c r="E675" s="32" t="n">
        <v>0</v>
      </c>
      <c r="F675" s="32" t="n">
        <v>0</v>
      </c>
      <c r="G675" s="32" t="n">
        <v>0</v>
      </c>
      <c r="H675" s="32" t="n">
        <v>0</v>
      </c>
      <c r="I675" s="32" t="n">
        <v>0</v>
      </c>
      <c r="J675" s="32" t="n">
        <v>0</v>
      </c>
      <c r="K675" s="32" t="n">
        <v>1</v>
      </c>
      <c r="L675" s="32" t="n">
        <v>0</v>
      </c>
      <c r="M675" s="32" t="n">
        <v>0</v>
      </c>
      <c r="N675" s="32" t="n">
        <v>0</v>
      </c>
      <c r="O675" s="32" t="n">
        <v>0</v>
      </c>
      <c r="P675" s="32" t="n">
        <v>0</v>
      </c>
      <c r="Q675" s="32" t="n">
        <v>1</v>
      </c>
      <c r="R675" s="32" t="n">
        <v>0</v>
      </c>
      <c r="S675" s="32" t="n">
        <v>0</v>
      </c>
      <c r="T675" s="32" t="n">
        <v>0</v>
      </c>
      <c r="U675" s="32" t="n">
        <v>1</v>
      </c>
      <c r="V675" s="32" t="n">
        <v>0</v>
      </c>
      <c r="W675" s="32" t="n">
        <v>0</v>
      </c>
      <c r="X675" s="32" t="n">
        <v>0</v>
      </c>
      <c r="Y675" s="32" t="n">
        <v>0</v>
      </c>
      <c r="Z675" s="32" t="n">
        <v>0</v>
      </c>
      <c r="AA675" s="32" t="n">
        <v>0</v>
      </c>
      <c r="AB675" s="32" t="n">
        <v>0</v>
      </c>
      <c r="AC675" s="30" t="s">
        <v>776</v>
      </c>
      <c r="AD675" s="37" t="n">
        <f aca="false">B675-B674</f>
        <v>0.125</v>
      </c>
    </row>
    <row r="676" customFormat="false" ht="15" hidden="false" customHeight="false" outlineLevel="0" collapsed="false">
      <c r="A676" s="33" t="n">
        <v>673</v>
      </c>
      <c r="B676" s="34" t="n">
        <f aca="false">Summary!$B$5+IF(D676=1,0,IF(C676=1,Summary!$B$6,NA()))+(MATCH(1,E676:L676,0)-1)*Summary!$B$7+(MATCH(1,M676:T676,0)-1)*Summary!$B$8+(MATCH(1,U676:AB676,0)-1)*Summary!$B$9</f>
        <v>114.125</v>
      </c>
      <c r="C676" s="35" t="n">
        <v>1</v>
      </c>
      <c r="D676" s="35" t="n">
        <v>0</v>
      </c>
      <c r="E676" s="35" t="n">
        <v>0</v>
      </c>
      <c r="F676" s="35" t="n">
        <v>0</v>
      </c>
      <c r="G676" s="35" t="n">
        <v>0</v>
      </c>
      <c r="H676" s="35" t="n">
        <v>0</v>
      </c>
      <c r="I676" s="35" t="n">
        <v>0</v>
      </c>
      <c r="J676" s="35" t="n">
        <v>0</v>
      </c>
      <c r="K676" s="35" t="n">
        <v>1</v>
      </c>
      <c r="L676" s="35" t="n">
        <v>0</v>
      </c>
      <c r="M676" s="35" t="n">
        <v>0</v>
      </c>
      <c r="N676" s="35" t="n">
        <v>0</v>
      </c>
      <c r="O676" s="35" t="n">
        <v>0</v>
      </c>
      <c r="P676" s="35" t="n">
        <v>0</v>
      </c>
      <c r="Q676" s="35" t="n">
        <v>1</v>
      </c>
      <c r="R676" s="35" t="n">
        <v>0</v>
      </c>
      <c r="S676" s="35" t="n">
        <v>0</v>
      </c>
      <c r="T676" s="35" t="n">
        <v>0</v>
      </c>
      <c r="U676" s="35" t="n">
        <v>0</v>
      </c>
      <c r="V676" s="35" t="n">
        <v>1</v>
      </c>
      <c r="W676" s="35" t="n">
        <v>0</v>
      </c>
      <c r="X676" s="35" t="n">
        <v>0</v>
      </c>
      <c r="Y676" s="35" t="n">
        <v>0</v>
      </c>
      <c r="Z676" s="35" t="n">
        <v>0</v>
      </c>
      <c r="AA676" s="35" t="n">
        <v>0</v>
      </c>
      <c r="AB676" s="35" t="n">
        <v>0</v>
      </c>
      <c r="AC676" s="33" t="s">
        <v>777</v>
      </c>
      <c r="AD676" s="36" t="n">
        <f aca="false">B676-B675</f>
        <v>0.125</v>
      </c>
    </row>
    <row r="677" customFormat="false" ht="15" hidden="false" customHeight="false" outlineLevel="0" collapsed="false">
      <c r="A677" s="30" t="n">
        <v>674</v>
      </c>
      <c r="B677" s="31" t="n">
        <f aca="false">Summary!$B$5+IF(D677=1,0,IF(C677=1,Summary!$B$6,NA()))+(MATCH(1,E677:L677,0)-1)*Summary!$B$7+(MATCH(1,M677:T677,0)-1)*Summary!$B$8+(MATCH(1,U677:AB677,0)-1)*Summary!$B$9</f>
        <v>114.25</v>
      </c>
      <c r="C677" s="32" t="n">
        <v>1</v>
      </c>
      <c r="D677" s="32" t="n">
        <v>0</v>
      </c>
      <c r="E677" s="32" t="n">
        <v>0</v>
      </c>
      <c r="F677" s="32" t="n">
        <v>0</v>
      </c>
      <c r="G677" s="32" t="n">
        <v>0</v>
      </c>
      <c r="H677" s="32" t="n">
        <v>0</v>
      </c>
      <c r="I677" s="32" t="n">
        <v>0</v>
      </c>
      <c r="J677" s="32" t="n">
        <v>0</v>
      </c>
      <c r="K677" s="32" t="n">
        <v>1</v>
      </c>
      <c r="L677" s="32" t="n">
        <v>0</v>
      </c>
      <c r="M677" s="32" t="n">
        <v>0</v>
      </c>
      <c r="N677" s="32" t="n">
        <v>0</v>
      </c>
      <c r="O677" s="32" t="n">
        <v>0</v>
      </c>
      <c r="P677" s="32" t="n">
        <v>0</v>
      </c>
      <c r="Q677" s="32" t="n">
        <v>1</v>
      </c>
      <c r="R677" s="32" t="n">
        <v>0</v>
      </c>
      <c r="S677" s="32" t="n">
        <v>0</v>
      </c>
      <c r="T677" s="32" t="n">
        <v>0</v>
      </c>
      <c r="U677" s="32" t="n">
        <v>0</v>
      </c>
      <c r="V677" s="32" t="n">
        <v>0</v>
      </c>
      <c r="W677" s="32" t="n">
        <v>1</v>
      </c>
      <c r="X677" s="32" t="n">
        <v>0</v>
      </c>
      <c r="Y677" s="32" t="n">
        <v>0</v>
      </c>
      <c r="Z677" s="32" t="n">
        <v>0</v>
      </c>
      <c r="AA677" s="32" t="n">
        <v>0</v>
      </c>
      <c r="AB677" s="32" t="n">
        <v>0</v>
      </c>
      <c r="AC677" s="30" t="s">
        <v>778</v>
      </c>
      <c r="AD677" s="37" t="n">
        <f aca="false">B677-B676</f>
        <v>0.125</v>
      </c>
    </row>
    <row r="678" customFormat="false" ht="15" hidden="false" customHeight="false" outlineLevel="0" collapsed="false">
      <c r="A678" s="33" t="n">
        <v>675</v>
      </c>
      <c r="B678" s="34" t="n">
        <f aca="false">Summary!$B$5+IF(D678=1,0,IF(C678=1,Summary!$B$6,NA()))+(MATCH(1,E678:L678,0)-1)*Summary!$B$7+(MATCH(1,M678:T678,0)-1)*Summary!$B$8+(MATCH(1,U678:AB678,0)-1)*Summary!$B$9</f>
        <v>114.375</v>
      </c>
      <c r="C678" s="35" t="n">
        <v>1</v>
      </c>
      <c r="D678" s="35" t="n">
        <v>0</v>
      </c>
      <c r="E678" s="35" t="n">
        <v>0</v>
      </c>
      <c r="F678" s="35" t="n">
        <v>0</v>
      </c>
      <c r="G678" s="35" t="n">
        <v>0</v>
      </c>
      <c r="H678" s="35" t="n">
        <v>0</v>
      </c>
      <c r="I678" s="35" t="n">
        <v>0</v>
      </c>
      <c r="J678" s="35" t="n">
        <v>0</v>
      </c>
      <c r="K678" s="35" t="n">
        <v>1</v>
      </c>
      <c r="L678" s="35" t="n">
        <v>0</v>
      </c>
      <c r="M678" s="35" t="n">
        <v>0</v>
      </c>
      <c r="N678" s="35" t="n">
        <v>0</v>
      </c>
      <c r="O678" s="35" t="n">
        <v>0</v>
      </c>
      <c r="P678" s="35" t="n">
        <v>0</v>
      </c>
      <c r="Q678" s="35" t="n">
        <v>1</v>
      </c>
      <c r="R678" s="35" t="n">
        <v>0</v>
      </c>
      <c r="S678" s="35" t="n">
        <v>0</v>
      </c>
      <c r="T678" s="35" t="n">
        <v>0</v>
      </c>
      <c r="U678" s="35" t="n">
        <v>0</v>
      </c>
      <c r="V678" s="35" t="n">
        <v>0</v>
      </c>
      <c r="W678" s="35" t="n">
        <v>0</v>
      </c>
      <c r="X678" s="35" t="n">
        <v>1</v>
      </c>
      <c r="Y678" s="35" t="n">
        <v>0</v>
      </c>
      <c r="Z678" s="35" t="n">
        <v>0</v>
      </c>
      <c r="AA678" s="35" t="n">
        <v>0</v>
      </c>
      <c r="AB678" s="35" t="n">
        <v>0</v>
      </c>
      <c r="AC678" s="33" t="s">
        <v>779</v>
      </c>
      <c r="AD678" s="36" t="n">
        <f aca="false">B678-B677</f>
        <v>0.125</v>
      </c>
    </row>
    <row r="679" customFormat="false" ht="15" hidden="false" customHeight="false" outlineLevel="0" collapsed="false">
      <c r="A679" s="30" t="n">
        <v>676</v>
      </c>
      <c r="B679" s="31" t="n">
        <f aca="false">Summary!$B$5+IF(D679=1,0,IF(C679=1,Summary!$B$6,NA()))+(MATCH(1,E679:L679,0)-1)*Summary!$B$7+(MATCH(1,M679:T679,0)-1)*Summary!$B$8+(MATCH(1,U679:AB679,0)-1)*Summary!$B$9</f>
        <v>114.5</v>
      </c>
      <c r="C679" s="32" t="n">
        <v>1</v>
      </c>
      <c r="D679" s="32" t="n">
        <v>0</v>
      </c>
      <c r="E679" s="32" t="n">
        <v>0</v>
      </c>
      <c r="F679" s="32" t="n">
        <v>0</v>
      </c>
      <c r="G679" s="32" t="n">
        <v>0</v>
      </c>
      <c r="H679" s="32" t="n">
        <v>0</v>
      </c>
      <c r="I679" s="32" t="n">
        <v>0</v>
      </c>
      <c r="J679" s="32" t="n">
        <v>0</v>
      </c>
      <c r="K679" s="32" t="n">
        <v>1</v>
      </c>
      <c r="L679" s="32" t="n">
        <v>0</v>
      </c>
      <c r="M679" s="32" t="n">
        <v>0</v>
      </c>
      <c r="N679" s="32" t="n">
        <v>0</v>
      </c>
      <c r="O679" s="32" t="n">
        <v>0</v>
      </c>
      <c r="P679" s="32" t="n">
        <v>0</v>
      </c>
      <c r="Q679" s="32" t="n">
        <v>1</v>
      </c>
      <c r="R679" s="32" t="n">
        <v>0</v>
      </c>
      <c r="S679" s="32" t="n">
        <v>0</v>
      </c>
      <c r="T679" s="32" t="n">
        <v>0</v>
      </c>
      <c r="U679" s="32" t="n">
        <v>0</v>
      </c>
      <c r="V679" s="32" t="n">
        <v>0</v>
      </c>
      <c r="W679" s="32" t="n">
        <v>0</v>
      </c>
      <c r="X679" s="32" t="n">
        <v>0</v>
      </c>
      <c r="Y679" s="32" t="n">
        <v>1</v>
      </c>
      <c r="Z679" s="32" t="n">
        <v>0</v>
      </c>
      <c r="AA679" s="32" t="n">
        <v>0</v>
      </c>
      <c r="AB679" s="32" t="n">
        <v>0</v>
      </c>
      <c r="AC679" s="30" t="s">
        <v>780</v>
      </c>
      <c r="AD679" s="37" t="n">
        <f aca="false">B679-B678</f>
        <v>0.125</v>
      </c>
    </row>
    <row r="680" customFormat="false" ht="15" hidden="false" customHeight="false" outlineLevel="0" collapsed="false">
      <c r="A680" s="33" t="n">
        <v>677</v>
      </c>
      <c r="B680" s="34" t="n">
        <f aca="false">Summary!$B$5+IF(D680=1,0,IF(C680=1,Summary!$B$6,NA()))+(MATCH(1,E680:L680,0)-1)*Summary!$B$7+(MATCH(1,M680:T680,0)-1)*Summary!$B$8+(MATCH(1,U680:AB680,0)-1)*Summary!$B$9</f>
        <v>114.625</v>
      </c>
      <c r="C680" s="35" t="n">
        <v>1</v>
      </c>
      <c r="D680" s="35" t="n">
        <v>0</v>
      </c>
      <c r="E680" s="35" t="n">
        <v>0</v>
      </c>
      <c r="F680" s="35" t="n">
        <v>0</v>
      </c>
      <c r="G680" s="35" t="n">
        <v>0</v>
      </c>
      <c r="H680" s="35" t="n">
        <v>0</v>
      </c>
      <c r="I680" s="35" t="n">
        <v>0</v>
      </c>
      <c r="J680" s="35" t="n">
        <v>0</v>
      </c>
      <c r="K680" s="35" t="n">
        <v>1</v>
      </c>
      <c r="L680" s="35" t="n">
        <v>0</v>
      </c>
      <c r="M680" s="35" t="n">
        <v>0</v>
      </c>
      <c r="N680" s="35" t="n">
        <v>0</v>
      </c>
      <c r="O680" s="35" t="n">
        <v>0</v>
      </c>
      <c r="P680" s="35" t="n">
        <v>0</v>
      </c>
      <c r="Q680" s="35" t="n">
        <v>1</v>
      </c>
      <c r="R680" s="35" t="n">
        <v>0</v>
      </c>
      <c r="S680" s="35" t="n">
        <v>0</v>
      </c>
      <c r="T680" s="35" t="n">
        <v>0</v>
      </c>
      <c r="U680" s="35" t="n">
        <v>0</v>
      </c>
      <c r="V680" s="35" t="n">
        <v>0</v>
      </c>
      <c r="W680" s="35" t="n">
        <v>0</v>
      </c>
      <c r="X680" s="35" t="n">
        <v>0</v>
      </c>
      <c r="Y680" s="35" t="n">
        <v>0</v>
      </c>
      <c r="Z680" s="35" t="n">
        <v>1</v>
      </c>
      <c r="AA680" s="35" t="n">
        <v>0</v>
      </c>
      <c r="AB680" s="35" t="n">
        <v>0</v>
      </c>
      <c r="AC680" s="33" t="s">
        <v>781</v>
      </c>
      <c r="AD680" s="36" t="n">
        <f aca="false">B680-B679</f>
        <v>0.125</v>
      </c>
    </row>
    <row r="681" customFormat="false" ht="15" hidden="false" customHeight="false" outlineLevel="0" collapsed="false">
      <c r="A681" s="30" t="n">
        <v>678</v>
      </c>
      <c r="B681" s="31" t="n">
        <f aca="false">Summary!$B$5+IF(D681=1,0,IF(C681=1,Summary!$B$6,NA()))+(MATCH(1,E681:L681,0)-1)*Summary!$B$7+(MATCH(1,M681:T681,0)-1)*Summary!$B$8+(MATCH(1,U681:AB681,0)-1)*Summary!$B$9</f>
        <v>114.75</v>
      </c>
      <c r="C681" s="32" t="n">
        <v>1</v>
      </c>
      <c r="D681" s="32" t="n">
        <v>0</v>
      </c>
      <c r="E681" s="32" t="n">
        <v>0</v>
      </c>
      <c r="F681" s="32" t="n">
        <v>0</v>
      </c>
      <c r="G681" s="32" t="n">
        <v>0</v>
      </c>
      <c r="H681" s="32" t="n">
        <v>0</v>
      </c>
      <c r="I681" s="32" t="n">
        <v>0</v>
      </c>
      <c r="J681" s="32" t="n">
        <v>0</v>
      </c>
      <c r="K681" s="32" t="n">
        <v>1</v>
      </c>
      <c r="L681" s="32" t="n">
        <v>0</v>
      </c>
      <c r="M681" s="32" t="n">
        <v>0</v>
      </c>
      <c r="N681" s="32" t="n">
        <v>0</v>
      </c>
      <c r="O681" s="32" t="n">
        <v>0</v>
      </c>
      <c r="P681" s="32" t="n">
        <v>0</v>
      </c>
      <c r="Q681" s="32" t="n">
        <v>1</v>
      </c>
      <c r="R681" s="32" t="n">
        <v>0</v>
      </c>
      <c r="S681" s="32" t="n">
        <v>0</v>
      </c>
      <c r="T681" s="32" t="n">
        <v>0</v>
      </c>
      <c r="U681" s="32" t="n">
        <v>0</v>
      </c>
      <c r="V681" s="32" t="n">
        <v>0</v>
      </c>
      <c r="W681" s="32" t="n">
        <v>0</v>
      </c>
      <c r="X681" s="32" t="n">
        <v>0</v>
      </c>
      <c r="Y681" s="32" t="n">
        <v>0</v>
      </c>
      <c r="Z681" s="32" t="n">
        <v>0</v>
      </c>
      <c r="AA681" s="32" t="n">
        <v>1</v>
      </c>
      <c r="AB681" s="32" t="n">
        <v>0</v>
      </c>
      <c r="AC681" s="30" t="s">
        <v>782</v>
      </c>
      <c r="AD681" s="37" t="n">
        <f aca="false">B681-B680</f>
        <v>0.125</v>
      </c>
    </row>
    <row r="682" customFormat="false" ht="15" hidden="false" customHeight="false" outlineLevel="0" collapsed="false">
      <c r="A682" s="33" t="n">
        <v>679</v>
      </c>
      <c r="B682" s="34" t="n">
        <f aca="false">Summary!$B$5+IF(D682=1,0,IF(C682=1,Summary!$B$6,NA()))+(MATCH(1,E682:L682,0)-1)*Summary!$B$7+(MATCH(1,M682:T682,0)-1)*Summary!$B$8+(MATCH(1,U682:AB682,0)-1)*Summary!$B$9</f>
        <v>114.875</v>
      </c>
      <c r="C682" s="35" t="n">
        <v>1</v>
      </c>
      <c r="D682" s="35" t="n">
        <v>0</v>
      </c>
      <c r="E682" s="35" t="n">
        <v>0</v>
      </c>
      <c r="F682" s="35" t="n">
        <v>0</v>
      </c>
      <c r="G682" s="35" t="n">
        <v>0</v>
      </c>
      <c r="H682" s="35" t="n">
        <v>0</v>
      </c>
      <c r="I682" s="35" t="n">
        <v>0</v>
      </c>
      <c r="J682" s="35" t="n">
        <v>0</v>
      </c>
      <c r="K682" s="35" t="n">
        <v>1</v>
      </c>
      <c r="L682" s="35" t="n">
        <v>0</v>
      </c>
      <c r="M682" s="35" t="n">
        <v>0</v>
      </c>
      <c r="N682" s="35" t="n">
        <v>0</v>
      </c>
      <c r="O682" s="35" t="n">
        <v>0</v>
      </c>
      <c r="P682" s="35" t="n">
        <v>0</v>
      </c>
      <c r="Q682" s="35" t="n">
        <v>1</v>
      </c>
      <c r="R682" s="35" t="n">
        <v>0</v>
      </c>
      <c r="S682" s="35" t="n">
        <v>0</v>
      </c>
      <c r="T682" s="35" t="n">
        <v>0</v>
      </c>
      <c r="U682" s="35" t="n">
        <v>0</v>
      </c>
      <c r="V682" s="35" t="n">
        <v>0</v>
      </c>
      <c r="W682" s="35" t="n">
        <v>0</v>
      </c>
      <c r="X682" s="35" t="n">
        <v>0</v>
      </c>
      <c r="Y682" s="35" t="n">
        <v>0</v>
      </c>
      <c r="Z682" s="35" t="n">
        <v>0</v>
      </c>
      <c r="AA682" s="35" t="n">
        <v>0</v>
      </c>
      <c r="AB682" s="35" t="n">
        <v>1</v>
      </c>
      <c r="AC682" s="33" t="s">
        <v>783</v>
      </c>
      <c r="AD682" s="36" t="n">
        <f aca="false">B682-B681</f>
        <v>0.125</v>
      </c>
    </row>
    <row r="683" customFormat="false" ht="15" hidden="false" customHeight="false" outlineLevel="0" collapsed="false">
      <c r="A683" s="30" t="n">
        <v>680</v>
      </c>
      <c r="B683" s="31" t="n">
        <f aca="false">Summary!$B$5+IF(D683=1,0,IF(C683=1,Summary!$B$6,NA()))+(MATCH(1,E683:L683,0)-1)*Summary!$B$7+(MATCH(1,M683:T683,0)-1)*Summary!$B$8+(MATCH(1,U683:AB683,0)-1)*Summary!$B$9</f>
        <v>115</v>
      </c>
      <c r="C683" s="32" t="n">
        <v>1</v>
      </c>
      <c r="D683" s="32" t="n">
        <v>0</v>
      </c>
      <c r="E683" s="32" t="n">
        <v>0</v>
      </c>
      <c r="F683" s="32" t="n">
        <v>0</v>
      </c>
      <c r="G683" s="32" t="n">
        <v>0</v>
      </c>
      <c r="H683" s="32" t="n">
        <v>0</v>
      </c>
      <c r="I683" s="32" t="n">
        <v>0</v>
      </c>
      <c r="J683" s="32" t="n">
        <v>0</v>
      </c>
      <c r="K683" s="32" t="n">
        <v>1</v>
      </c>
      <c r="L683" s="32" t="n">
        <v>0</v>
      </c>
      <c r="M683" s="32" t="n">
        <v>0</v>
      </c>
      <c r="N683" s="32" t="n">
        <v>0</v>
      </c>
      <c r="O683" s="32" t="n">
        <v>0</v>
      </c>
      <c r="P683" s="32" t="n">
        <v>0</v>
      </c>
      <c r="Q683" s="32" t="n">
        <v>0</v>
      </c>
      <c r="R683" s="32" t="n">
        <v>1</v>
      </c>
      <c r="S683" s="32" t="n">
        <v>0</v>
      </c>
      <c r="T683" s="32" t="n">
        <v>0</v>
      </c>
      <c r="U683" s="32" t="n">
        <v>1</v>
      </c>
      <c r="V683" s="32" t="n">
        <v>0</v>
      </c>
      <c r="W683" s="32" t="n">
        <v>0</v>
      </c>
      <c r="X683" s="32" t="n">
        <v>0</v>
      </c>
      <c r="Y683" s="32" t="n">
        <v>0</v>
      </c>
      <c r="Z683" s="32" t="n">
        <v>0</v>
      </c>
      <c r="AA683" s="32" t="n">
        <v>0</v>
      </c>
      <c r="AB683" s="32" t="n">
        <v>0</v>
      </c>
      <c r="AC683" s="30" t="s">
        <v>784</v>
      </c>
      <c r="AD683" s="37" t="n">
        <f aca="false">B683-B682</f>
        <v>0.125</v>
      </c>
    </row>
    <row r="684" customFormat="false" ht="15" hidden="false" customHeight="false" outlineLevel="0" collapsed="false">
      <c r="A684" s="33" t="n">
        <v>681</v>
      </c>
      <c r="B684" s="34" t="n">
        <f aca="false">Summary!$B$5+IF(D684=1,0,IF(C684=1,Summary!$B$6,NA()))+(MATCH(1,E684:L684,0)-1)*Summary!$B$7+(MATCH(1,M684:T684,0)-1)*Summary!$B$8+(MATCH(1,U684:AB684,0)-1)*Summary!$B$9</f>
        <v>115.125</v>
      </c>
      <c r="C684" s="35" t="n">
        <v>1</v>
      </c>
      <c r="D684" s="35" t="n">
        <v>0</v>
      </c>
      <c r="E684" s="35" t="n">
        <v>0</v>
      </c>
      <c r="F684" s="35" t="n">
        <v>0</v>
      </c>
      <c r="G684" s="35" t="n">
        <v>0</v>
      </c>
      <c r="H684" s="35" t="n">
        <v>0</v>
      </c>
      <c r="I684" s="35" t="n">
        <v>0</v>
      </c>
      <c r="J684" s="35" t="n">
        <v>0</v>
      </c>
      <c r="K684" s="35" t="n">
        <v>1</v>
      </c>
      <c r="L684" s="35" t="n">
        <v>0</v>
      </c>
      <c r="M684" s="35" t="n">
        <v>0</v>
      </c>
      <c r="N684" s="35" t="n">
        <v>0</v>
      </c>
      <c r="O684" s="35" t="n">
        <v>0</v>
      </c>
      <c r="P684" s="35" t="n">
        <v>0</v>
      </c>
      <c r="Q684" s="35" t="n">
        <v>0</v>
      </c>
      <c r="R684" s="35" t="n">
        <v>1</v>
      </c>
      <c r="S684" s="35" t="n">
        <v>0</v>
      </c>
      <c r="T684" s="35" t="n">
        <v>0</v>
      </c>
      <c r="U684" s="35" t="n">
        <v>0</v>
      </c>
      <c r="V684" s="35" t="n">
        <v>1</v>
      </c>
      <c r="W684" s="35" t="n">
        <v>0</v>
      </c>
      <c r="X684" s="35" t="n">
        <v>0</v>
      </c>
      <c r="Y684" s="35" t="n">
        <v>0</v>
      </c>
      <c r="Z684" s="35" t="n">
        <v>0</v>
      </c>
      <c r="AA684" s="35" t="n">
        <v>0</v>
      </c>
      <c r="AB684" s="35" t="n">
        <v>0</v>
      </c>
      <c r="AC684" s="33" t="s">
        <v>785</v>
      </c>
      <c r="AD684" s="36" t="n">
        <f aca="false">B684-B683</f>
        <v>0.125</v>
      </c>
    </row>
    <row r="685" customFormat="false" ht="15" hidden="false" customHeight="false" outlineLevel="0" collapsed="false">
      <c r="A685" s="30" t="n">
        <v>682</v>
      </c>
      <c r="B685" s="31" t="n">
        <f aca="false">Summary!$B$5+IF(D685=1,0,IF(C685=1,Summary!$B$6,NA()))+(MATCH(1,E685:L685,0)-1)*Summary!$B$7+(MATCH(1,M685:T685,0)-1)*Summary!$B$8+(MATCH(1,U685:AB685,0)-1)*Summary!$B$9</f>
        <v>115.25</v>
      </c>
      <c r="C685" s="32" t="n">
        <v>1</v>
      </c>
      <c r="D685" s="32" t="n">
        <v>0</v>
      </c>
      <c r="E685" s="32" t="n">
        <v>0</v>
      </c>
      <c r="F685" s="32" t="n">
        <v>0</v>
      </c>
      <c r="G685" s="32" t="n">
        <v>0</v>
      </c>
      <c r="H685" s="32" t="n">
        <v>0</v>
      </c>
      <c r="I685" s="32" t="n">
        <v>0</v>
      </c>
      <c r="J685" s="32" t="n">
        <v>0</v>
      </c>
      <c r="K685" s="32" t="n">
        <v>1</v>
      </c>
      <c r="L685" s="32" t="n">
        <v>0</v>
      </c>
      <c r="M685" s="32" t="n">
        <v>0</v>
      </c>
      <c r="N685" s="32" t="n">
        <v>0</v>
      </c>
      <c r="O685" s="32" t="n">
        <v>0</v>
      </c>
      <c r="P685" s="32" t="n">
        <v>0</v>
      </c>
      <c r="Q685" s="32" t="n">
        <v>0</v>
      </c>
      <c r="R685" s="32" t="n">
        <v>1</v>
      </c>
      <c r="S685" s="32" t="n">
        <v>0</v>
      </c>
      <c r="T685" s="32" t="n">
        <v>0</v>
      </c>
      <c r="U685" s="32" t="n">
        <v>0</v>
      </c>
      <c r="V685" s="32" t="n">
        <v>0</v>
      </c>
      <c r="W685" s="32" t="n">
        <v>1</v>
      </c>
      <c r="X685" s="32" t="n">
        <v>0</v>
      </c>
      <c r="Y685" s="32" t="n">
        <v>0</v>
      </c>
      <c r="Z685" s="32" t="n">
        <v>0</v>
      </c>
      <c r="AA685" s="32" t="n">
        <v>0</v>
      </c>
      <c r="AB685" s="32" t="n">
        <v>0</v>
      </c>
      <c r="AC685" s="30" t="s">
        <v>786</v>
      </c>
      <c r="AD685" s="37" t="n">
        <f aca="false">B685-B684</f>
        <v>0.125</v>
      </c>
    </row>
    <row r="686" customFormat="false" ht="15" hidden="false" customHeight="false" outlineLevel="0" collapsed="false">
      <c r="A686" s="33" t="n">
        <v>683</v>
      </c>
      <c r="B686" s="34" t="n">
        <f aca="false">Summary!$B$5+IF(D686=1,0,IF(C686=1,Summary!$B$6,NA()))+(MATCH(1,E686:L686,0)-1)*Summary!$B$7+(MATCH(1,M686:T686,0)-1)*Summary!$B$8+(MATCH(1,U686:AB686,0)-1)*Summary!$B$9</f>
        <v>115.375</v>
      </c>
      <c r="C686" s="35" t="n">
        <v>1</v>
      </c>
      <c r="D686" s="35" t="n">
        <v>0</v>
      </c>
      <c r="E686" s="35" t="n">
        <v>0</v>
      </c>
      <c r="F686" s="35" t="n">
        <v>0</v>
      </c>
      <c r="G686" s="35" t="n">
        <v>0</v>
      </c>
      <c r="H686" s="35" t="n">
        <v>0</v>
      </c>
      <c r="I686" s="35" t="n">
        <v>0</v>
      </c>
      <c r="J686" s="35" t="n">
        <v>0</v>
      </c>
      <c r="K686" s="35" t="n">
        <v>1</v>
      </c>
      <c r="L686" s="35" t="n">
        <v>0</v>
      </c>
      <c r="M686" s="35" t="n">
        <v>0</v>
      </c>
      <c r="N686" s="35" t="n">
        <v>0</v>
      </c>
      <c r="O686" s="35" t="n">
        <v>0</v>
      </c>
      <c r="P686" s="35" t="n">
        <v>0</v>
      </c>
      <c r="Q686" s="35" t="n">
        <v>0</v>
      </c>
      <c r="R686" s="35" t="n">
        <v>1</v>
      </c>
      <c r="S686" s="35" t="n">
        <v>0</v>
      </c>
      <c r="T686" s="35" t="n">
        <v>0</v>
      </c>
      <c r="U686" s="35" t="n">
        <v>0</v>
      </c>
      <c r="V686" s="35" t="n">
        <v>0</v>
      </c>
      <c r="W686" s="35" t="n">
        <v>0</v>
      </c>
      <c r="X686" s="35" t="n">
        <v>1</v>
      </c>
      <c r="Y686" s="35" t="n">
        <v>0</v>
      </c>
      <c r="Z686" s="35" t="n">
        <v>0</v>
      </c>
      <c r="AA686" s="35" t="n">
        <v>0</v>
      </c>
      <c r="AB686" s="35" t="n">
        <v>0</v>
      </c>
      <c r="AC686" s="33" t="s">
        <v>787</v>
      </c>
      <c r="AD686" s="36" t="n">
        <f aca="false">B686-B685</f>
        <v>0.125</v>
      </c>
    </row>
    <row r="687" customFormat="false" ht="15" hidden="false" customHeight="false" outlineLevel="0" collapsed="false">
      <c r="A687" s="30" t="n">
        <v>684</v>
      </c>
      <c r="B687" s="31" t="n">
        <f aca="false">Summary!$B$5+IF(D687=1,0,IF(C687=1,Summary!$B$6,NA()))+(MATCH(1,E687:L687,0)-1)*Summary!$B$7+(MATCH(1,M687:T687,0)-1)*Summary!$B$8+(MATCH(1,U687:AB687,0)-1)*Summary!$B$9</f>
        <v>115.5</v>
      </c>
      <c r="C687" s="32" t="n">
        <v>1</v>
      </c>
      <c r="D687" s="32" t="n">
        <v>0</v>
      </c>
      <c r="E687" s="32" t="n">
        <v>0</v>
      </c>
      <c r="F687" s="32" t="n">
        <v>0</v>
      </c>
      <c r="G687" s="32" t="n">
        <v>0</v>
      </c>
      <c r="H687" s="32" t="n">
        <v>0</v>
      </c>
      <c r="I687" s="32" t="n">
        <v>0</v>
      </c>
      <c r="J687" s="32" t="n">
        <v>0</v>
      </c>
      <c r="K687" s="32" t="n">
        <v>1</v>
      </c>
      <c r="L687" s="32" t="n">
        <v>0</v>
      </c>
      <c r="M687" s="32" t="n">
        <v>0</v>
      </c>
      <c r="N687" s="32" t="n">
        <v>0</v>
      </c>
      <c r="O687" s="32" t="n">
        <v>0</v>
      </c>
      <c r="P687" s="32" t="n">
        <v>0</v>
      </c>
      <c r="Q687" s="32" t="n">
        <v>0</v>
      </c>
      <c r="R687" s="32" t="n">
        <v>1</v>
      </c>
      <c r="S687" s="32" t="n">
        <v>0</v>
      </c>
      <c r="T687" s="32" t="n">
        <v>0</v>
      </c>
      <c r="U687" s="32" t="n">
        <v>0</v>
      </c>
      <c r="V687" s="32" t="n">
        <v>0</v>
      </c>
      <c r="W687" s="32" t="n">
        <v>0</v>
      </c>
      <c r="X687" s="32" t="n">
        <v>0</v>
      </c>
      <c r="Y687" s="32" t="n">
        <v>1</v>
      </c>
      <c r="Z687" s="32" t="n">
        <v>0</v>
      </c>
      <c r="AA687" s="32" t="n">
        <v>0</v>
      </c>
      <c r="AB687" s="32" t="n">
        <v>0</v>
      </c>
      <c r="AC687" s="30" t="s">
        <v>788</v>
      </c>
      <c r="AD687" s="37" t="n">
        <f aca="false">B687-B686</f>
        <v>0.125</v>
      </c>
    </row>
    <row r="688" customFormat="false" ht="15" hidden="false" customHeight="false" outlineLevel="0" collapsed="false">
      <c r="A688" s="33" t="n">
        <v>685</v>
      </c>
      <c r="B688" s="34" t="n">
        <f aca="false">Summary!$B$5+IF(D688=1,0,IF(C688=1,Summary!$B$6,NA()))+(MATCH(1,E688:L688,0)-1)*Summary!$B$7+(MATCH(1,M688:T688,0)-1)*Summary!$B$8+(MATCH(1,U688:AB688,0)-1)*Summary!$B$9</f>
        <v>115.625</v>
      </c>
      <c r="C688" s="35" t="n">
        <v>1</v>
      </c>
      <c r="D688" s="35" t="n">
        <v>0</v>
      </c>
      <c r="E688" s="35" t="n">
        <v>0</v>
      </c>
      <c r="F688" s="35" t="n">
        <v>0</v>
      </c>
      <c r="G688" s="35" t="n">
        <v>0</v>
      </c>
      <c r="H688" s="35" t="n">
        <v>0</v>
      </c>
      <c r="I688" s="35" t="n">
        <v>0</v>
      </c>
      <c r="J688" s="35" t="n">
        <v>0</v>
      </c>
      <c r="K688" s="35" t="n">
        <v>1</v>
      </c>
      <c r="L688" s="35" t="n">
        <v>0</v>
      </c>
      <c r="M688" s="35" t="n">
        <v>0</v>
      </c>
      <c r="N688" s="35" t="n">
        <v>0</v>
      </c>
      <c r="O688" s="35" t="n">
        <v>0</v>
      </c>
      <c r="P688" s="35" t="n">
        <v>0</v>
      </c>
      <c r="Q688" s="35" t="n">
        <v>0</v>
      </c>
      <c r="R688" s="35" t="n">
        <v>1</v>
      </c>
      <c r="S688" s="35" t="n">
        <v>0</v>
      </c>
      <c r="T688" s="35" t="n">
        <v>0</v>
      </c>
      <c r="U688" s="35" t="n">
        <v>0</v>
      </c>
      <c r="V688" s="35" t="n">
        <v>0</v>
      </c>
      <c r="W688" s="35" t="n">
        <v>0</v>
      </c>
      <c r="X688" s="35" t="n">
        <v>0</v>
      </c>
      <c r="Y688" s="35" t="n">
        <v>0</v>
      </c>
      <c r="Z688" s="35" t="n">
        <v>1</v>
      </c>
      <c r="AA688" s="35" t="n">
        <v>0</v>
      </c>
      <c r="AB688" s="35" t="n">
        <v>0</v>
      </c>
      <c r="AC688" s="33" t="s">
        <v>789</v>
      </c>
      <c r="AD688" s="36" t="n">
        <f aca="false">B688-B687</f>
        <v>0.125</v>
      </c>
    </row>
    <row r="689" customFormat="false" ht="15" hidden="false" customHeight="false" outlineLevel="0" collapsed="false">
      <c r="A689" s="30" t="n">
        <v>686</v>
      </c>
      <c r="B689" s="31" t="n">
        <f aca="false">Summary!$B$5+IF(D689=1,0,IF(C689=1,Summary!$B$6,NA()))+(MATCH(1,E689:L689,0)-1)*Summary!$B$7+(MATCH(1,M689:T689,0)-1)*Summary!$B$8+(MATCH(1,U689:AB689,0)-1)*Summary!$B$9</f>
        <v>115.75</v>
      </c>
      <c r="C689" s="32" t="n">
        <v>1</v>
      </c>
      <c r="D689" s="32" t="n">
        <v>0</v>
      </c>
      <c r="E689" s="32" t="n">
        <v>0</v>
      </c>
      <c r="F689" s="32" t="n">
        <v>0</v>
      </c>
      <c r="G689" s="32" t="n">
        <v>0</v>
      </c>
      <c r="H689" s="32" t="n">
        <v>0</v>
      </c>
      <c r="I689" s="32" t="n">
        <v>0</v>
      </c>
      <c r="J689" s="32" t="n">
        <v>0</v>
      </c>
      <c r="K689" s="32" t="n">
        <v>1</v>
      </c>
      <c r="L689" s="32" t="n">
        <v>0</v>
      </c>
      <c r="M689" s="32" t="n">
        <v>0</v>
      </c>
      <c r="N689" s="32" t="n">
        <v>0</v>
      </c>
      <c r="O689" s="32" t="n">
        <v>0</v>
      </c>
      <c r="P689" s="32" t="n">
        <v>0</v>
      </c>
      <c r="Q689" s="32" t="n">
        <v>0</v>
      </c>
      <c r="R689" s="32" t="n">
        <v>1</v>
      </c>
      <c r="S689" s="32" t="n">
        <v>0</v>
      </c>
      <c r="T689" s="32" t="n">
        <v>0</v>
      </c>
      <c r="U689" s="32" t="n">
        <v>0</v>
      </c>
      <c r="V689" s="32" t="n">
        <v>0</v>
      </c>
      <c r="W689" s="32" t="n">
        <v>0</v>
      </c>
      <c r="X689" s="32" t="n">
        <v>0</v>
      </c>
      <c r="Y689" s="32" t="n">
        <v>0</v>
      </c>
      <c r="Z689" s="32" t="n">
        <v>0</v>
      </c>
      <c r="AA689" s="32" t="n">
        <v>1</v>
      </c>
      <c r="AB689" s="32" t="n">
        <v>0</v>
      </c>
      <c r="AC689" s="30" t="s">
        <v>790</v>
      </c>
      <c r="AD689" s="37" t="n">
        <f aca="false">B689-B688</f>
        <v>0.125</v>
      </c>
    </row>
    <row r="690" customFormat="false" ht="15" hidden="false" customHeight="false" outlineLevel="0" collapsed="false">
      <c r="A690" s="33" t="n">
        <v>687</v>
      </c>
      <c r="B690" s="34" t="n">
        <f aca="false">Summary!$B$5+IF(D690=1,0,IF(C690=1,Summary!$B$6,NA()))+(MATCH(1,E690:L690,0)-1)*Summary!$B$7+(MATCH(1,M690:T690,0)-1)*Summary!$B$8+(MATCH(1,U690:AB690,0)-1)*Summary!$B$9</f>
        <v>115.875</v>
      </c>
      <c r="C690" s="35" t="n">
        <v>1</v>
      </c>
      <c r="D690" s="35" t="n">
        <v>0</v>
      </c>
      <c r="E690" s="35" t="n">
        <v>0</v>
      </c>
      <c r="F690" s="35" t="n">
        <v>0</v>
      </c>
      <c r="G690" s="35" t="n">
        <v>0</v>
      </c>
      <c r="H690" s="35" t="n">
        <v>0</v>
      </c>
      <c r="I690" s="35" t="n">
        <v>0</v>
      </c>
      <c r="J690" s="35" t="n">
        <v>0</v>
      </c>
      <c r="K690" s="35" t="n">
        <v>1</v>
      </c>
      <c r="L690" s="35" t="n">
        <v>0</v>
      </c>
      <c r="M690" s="35" t="n">
        <v>0</v>
      </c>
      <c r="N690" s="35" t="n">
        <v>0</v>
      </c>
      <c r="O690" s="35" t="n">
        <v>0</v>
      </c>
      <c r="P690" s="35" t="n">
        <v>0</v>
      </c>
      <c r="Q690" s="35" t="n">
        <v>0</v>
      </c>
      <c r="R690" s="35" t="n">
        <v>1</v>
      </c>
      <c r="S690" s="35" t="n">
        <v>0</v>
      </c>
      <c r="T690" s="35" t="n">
        <v>0</v>
      </c>
      <c r="U690" s="35" t="n">
        <v>0</v>
      </c>
      <c r="V690" s="35" t="n">
        <v>0</v>
      </c>
      <c r="W690" s="35" t="n">
        <v>0</v>
      </c>
      <c r="X690" s="35" t="n">
        <v>0</v>
      </c>
      <c r="Y690" s="35" t="n">
        <v>0</v>
      </c>
      <c r="Z690" s="35" t="n">
        <v>0</v>
      </c>
      <c r="AA690" s="35" t="n">
        <v>0</v>
      </c>
      <c r="AB690" s="35" t="n">
        <v>1</v>
      </c>
      <c r="AC690" s="33" t="s">
        <v>791</v>
      </c>
      <c r="AD690" s="36" t="n">
        <f aca="false">B690-B689</f>
        <v>0.125</v>
      </c>
    </row>
    <row r="691" customFormat="false" ht="15" hidden="false" customHeight="false" outlineLevel="0" collapsed="false">
      <c r="A691" s="30" t="n">
        <v>688</v>
      </c>
      <c r="B691" s="31" t="n">
        <f aca="false">Summary!$B$5+IF(D691=1,0,IF(C691=1,Summary!$B$6,NA()))+(MATCH(1,E691:L691,0)-1)*Summary!$B$7+(MATCH(1,M691:T691,0)-1)*Summary!$B$8+(MATCH(1,U691:AB691,0)-1)*Summary!$B$9</f>
        <v>116</v>
      </c>
      <c r="C691" s="32" t="n">
        <v>1</v>
      </c>
      <c r="D691" s="32" t="n">
        <v>0</v>
      </c>
      <c r="E691" s="32" t="n">
        <v>0</v>
      </c>
      <c r="F691" s="32" t="n">
        <v>0</v>
      </c>
      <c r="G691" s="32" t="n">
        <v>0</v>
      </c>
      <c r="H691" s="32" t="n">
        <v>0</v>
      </c>
      <c r="I691" s="32" t="n">
        <v>0</v>
      </c>
      <c r="J691" s="32" t="n">
        <v>0</v>
      </c>
      <c r="K691" s="32" t="n">
        <v>1</v>
      </c>
      <c r="L691" s="32" t="n">
        <v>0</v>
      </c>
      <c r="M691" s="32" t="n">
        <v>0</v>
      </c>
      <c r="N691" s="32" t="n">
        <v>0</v>
      </c>
      <c r="O691" s="32" t="n">
        <v>0</v>
      </c>
      <c r="P691" s="32" t="n">
        <v>0</v>
      </c>
      <c r="Q691" s="32" t="n">
        <v>0</v>
      </c>
      <c r="R691" s="32" t="n">
        <v>0</v>
      </c>
      <c r="S691" s="32" t="n">
        <v>1</v>
      </c>
      <c r="T691" s="32" t="n">
        <v>0</v>
      </c>
      <c r="U691" s="32" t="n">
        <v>1</v>
      </c>
      <c r="V691" s="32" t="n">
        <v>0</v>
      </c>
      <c r="W691" s="32" t="n">
        <v>0</v>
      </c>
      <c r="X691" s="32" t="n">
        <v>0</v>
      </c>
      <c r="Y691" s="32" t="n">
        <v>0</v>
      </c>
      <c r="Z691" s="32" t="n">
        <v>0</v>
      </c>
      <c r="AA691" s="32" t="n">
        <v>0</v>
      </c>
      <c r="AB691" s="32" t="n">
        <v>0</v>
      </c>
      <c r="AC691" s="30" t="s">
        <v>792</v>
      </c>
      <c r="AD691" s="37" t="n">
        <f aca="false">B691-B690</f>
        <v>0.125</v>
      </c>
    </row>
    <row r="692" customFormat="false" ht="15" hidden="false" customHeight="false" outlineLevel="0" collapsed="false">
      <c r="A692" s="33" t="n">
        <v>689</v>
      </c>
      <c r="B692" s="34" t="n">
        <f aca="false">Summary!$B$5+IF(D692=1,0,IF(C692=1,Summary!$B$6,NA()))+(MATCH(1,E692:L692,0)-1)*Summary!$B$7+(MATCH(1,M692:T692,0)-1)*Summary!$B$8+(MATCH(1,U692:AB692,0)-1)*Summary!$B$9</f>
        <v>116.125</v>
      </c>
      <c r="C692" s="35" t="n">
        <v>1</v>
      </c>
      <c r="D692" s="35" t="n">
        <v>0</v>
      </c>
      <c r="E692" s="35" t="n">
        <v>0</v>
      </c>
      <c r="F692" s="35" t="n">
        <v>0</v>
      </c>
      <c r="G692" s="35" t="n">
        <v>0</v>
      </c>
      <c r="H692" s="35" t="n">
        <v>0</v>
      </c>
      <c r="I692" s="35" t="n">
        <v>0</v>
      </c>
      <c r="J692" s="35" t="n">
        <v>0</v>
      </c>
      <c r="K692" s="35" t="n">
        <v>1</v>
      </c>
      <c r="L692" s="35" t="n">
        <v>0</v>
      </c>
      <c r="M692" s="35" t="n">
        <v>0</v>
      </c>
      <c r="N692" s="35" t="n">
        <v>0</v>
      </c>
      <c r="O692" s="35" t="n">
        <v>0</v>
      </c>
      <c r="P692" s="35" t="n">
        <v>0</v>
      </c>
      <c r="Q692" s="35" t="n">
        <v>0</v>
      </c>
      <c r="R692" s="35" t="n">
        <v>0</v>
      </c>
      <c r="S692" s="35" t="n">
        <v>1</v>
      </c>
      <c r="T692" s="35" t="n">
        <v>0</v>
      </c>
      <c r="U692" s="35" t="n">
        <v>0</v>
      </c>
      <c r="V692" s="35" t="n">
        <v>1</v>
      </c>
      <c r="W692" s="35" t="n">
        <v>0</v>
      </c>
      <c r="X692" s="35" t="n">
        <v>0</v>
      </c>
      <c r="Y692" s="35" t="n">
        <v>0</v>
      </c>
      <c r="Z692" s="35" t="n">
        <v>0</v>
      </c>
      <c r="AA692" s="35" t="n">
        <v>0</v>
      </c>
      <c r="AB692" s="35" t="n">
        <v>0</v>
      </c>
      <c r="AC692" s="33" t="s">
        <v>793</v>
      </c>
      <c r="AD692" s="36" t="n">
        <f aca="false">B692-B691</f>
        <v>0.125</v>
      </c>
    </row>
    <row r="693" customFormat="false" ht="15" hidden="false" customHeight="false" outlineLevel="0" collapsed="false">
      <c r="A693" s="30" t="n">
        <v>690</v>
      </c>
      <c r="B693" s="31" t="n">
        <f aca="false">Summary!$B$5+IF(D693=1,0,IF(C693=1,Summary!$B$6,NA()))+(MATCH(1,E693:L693,0)-1)*Summary!$B$7+(MATCH(1,M693:T693,0)-1)*Summary!$B$8+(MATCH(1,U693:AB693,0)-1)*Summary!$B$9</f>
        <v>116.25</v>
      </c>
      <c r="C693" s="32" t="n">
        <v>1</v>
      </c>
      <c r="D693" s="32" t="n">
        <v>0</v>
      </c>
      <c r="E693" s="32" t="n">
        <v>0</v>
      </c>
      <c r="F693" s="32" t="n">
        <v>0</v>
      </c>
      <c r="G693" s="32" t="n">
        <v>0</v>
      </c>
      <c r="H693" s="32" t="n">
        <v>0</v>
      </c>
      <c r="I693" s="32" t="n">
        <v>0</v>
      </c>
      <c r="J693" s="32" t="n">
        <v>0</v>
      </c>
      <c r="K693" s="32" t="n">
        <v>1</v>
      </c>
      <c r="L693" s="32" t="n">
        <v>0</v>
      </c>
      <c r="M693" s="32" t="n">
        <v>0</v>
      </c>
      <c r="N693" s="32" t="n">
        <v>0</v>
      </c>
      <c r="O693" s="32" t="n">
        <v>0</v>
      </c>
      <c r="P693" s="32" t="n">
        <v>0</v>
      </c>
      <c r="Q693" s="32" t="n">
        <v>0</v>
      </c>
      <c r="R693" s="32" t="n">
        <v>0</v>
      </c>
      <c r="S693" s="32" t="n">
        <v>1</v>
      </c>
      <c r="T693" s="32" t="n">
        <v>0</v>
      </c>
      <c r="U693" s="32" t="n">
        <v>0</v>
      </c>
      <c r="V693" s="32" t="n">
        <v>0</v>
      </c>
      <c r="W693" s="32" t="n">
        <v>1</v>
      </c>
      <c r="X693" s="32" t="n">
        <v>0</v>
      </c>
      <c r="Y693" s="32" t="n">
        <v>0</v>
      </c>
      <c r="Z693" s="32" t="n">
        <v>0</v>
      </c>
      <c r="AA693" s="32" t="n">
        <v>0</v>
      </c>
      <c r="AB693" s="32" t="n">
        <v>0</v>
      </c>
      <c r="AC693" s="30" t="s">
        <v>794</v>
      </c>
      <c r="AD693" s="37" t="n">
        <f aca="false">B693-B692</f>
        <v>0.125</v>
      </c>
    </row>
    <row r="694" customFormat="false" ht="15" hidden="false" customHeight="false" outlineLevel="0" collapsed="false">
      <c r="A694" s="33" t="n">
        <v>691</v>
      </c>
      <c r="B694" s="34" t="n">
        <f aca="false">Summary!$B$5+IF(D694=1,0,IF(C694=1,Summary!$B$6,NA()))+(MATCH(1,E694:L694,0)-1)*Summary!$B$7+(MATCH(1,M694:T694,0)-1)*Summary!$B$8+(MATCH(1,U694:AB694,0)-1)*Summary!$B$9</f>
        <v>116.375</v>
      </c>
      <c r="C694" s="35" t="n">
        <v>1</v>
      </c>
      <c r="D694" s="35" t="n">
        <v>0</v>
      </c>
      <c r="E694" s="35" t="n">
        <v>0</v>
      </c>
      <c r="F694" s="35" t="n">
        <v>0</v>
      </c>
      <c r="G694" s="35" t="n">
        <v>0</v>
      </c>
      <c r="H694" s="35" t="n">
        <v>0</v>
      </c>
      <c r="I694" s="35" t="n">
        <v>0</v>
      </c>
      <c r="J694" s="35" t="n">
        <v>0</v>
      </c>
      <c r="K694" s="35" t="n">
        <v>1</v>
      </c>
      <c r="L694" s="35" t="n">
        <v>0</v>
      </c>
      <c r="M694" s="35" t="n">
        <v>0</v>
      </c>
      <c r="N694" s="35" t="n">
        <v>0</v>
      </c>
      <c r="O694" s="35" t="n">
        <v>0</v>
      </c>
      <c r="P694" s="35" t="n">
        <v>0</v>
      </c>
      <c r="Q694" s="35" t="n">
        <v>0</v>
      </c>
      <c r="R694" s="35" t="n">
        <v>0</v>
      </c>
      <c r="S694" s="35" t="n">
        <v>1</v>
      </c>
      <c r="T694" s="35" t="n">
        <v>0</v>
      </c>
      <c r="U694" s="35" t="n">
        <v>0</v>
      </c>
      <c r="V694" s="35" t="n">
        <v>0</v>
      </c>
      <c r="W694" s="35" t="n">
        <v>0</v>
      </c>
      <c r="X694" s="35" t="n">
        <v>1</v>
      </c>
      <c r="Y694" s="35" t="n">
        <v>0</v>
      </c>
      <c r="Z694" s="35" t="n">
        <v>0</v>
      </c>
      <c r="AA694" s="35" t="n">
        <v>0</v>
      </c>
      <c r="AB694" s="35" t="n">
        <v>0</v>
      </c>
      <c r="AC694" s="33" t="s">
        <v>795</v>
      </c>
      <c r="AD694" s="36" t="n">
        <f aca="false">B694-B693</f>
        <v>0.125</v>
      </c>
    </row>
    <row r="695" customFormat="false" ht="15" hidden="false" customHeight="false" outlineLevel="0" collapsed="false">
      <c r="A695" s="30" t="n">
        <v>692</v>
      </c>
      <c r="B695" s="31" t="n">
        <f aca="false">Summary!$B$5+IF(D695=1,0,IF(C695=1,Summary!$B$6,NA()))+(MATCH(1,E695:L695,0)-1)*Summary!$B$7+(MATCH(1,M695:T695,0)-1)*Summary!$B$8+(MATCH(1,U695:AB695,0)-1)*Summary!$B$9</f>
        <v>116.5</v>
      </c>
      <c r="C695" s="32" t="n">
        <v>1</v>
      </c>
      <c r="D695" s="32" t="n">
        <v>0</v>
      </c>
      <c r="E695" s="32" t="n">
        <v>0</v>
      </c>
      <c r="F695" s="32" t="n">
        <v>0</v>
      </c>
      <c r="G695" s="32" t="n">
        <v>0</v>
      </c>
      <c r="H695" s="32" t="n">
        <v>0</v>
      </c>
      <c r="I695" s="32" t="n">
        <v>0</v>
      </c>
      <c r="J695" s="32" t="n">
        <v>0</v>
      </c>
      <c r="K695" s="32" t="n">
        <v>1</v>
      </c>
      <c r="L695" s="32" t="n">
        <v>0</v>
      </c>
      <c r="M695" s="32" t="n">
        <v>0</v>
      </c>
      <c r="N695" s="32" t="n">
        <v>0</v>
      </c>
      <c r="O695" s="32" t="n">
        <v>0</v>
      </c>
      <c r="P695" s="32" t="n">
        <v>0</v>
      </c>
      <c r="Q695" s="32" t="n">
        <v>0</v>
      </c>
      <c r="R695" s="32" t="n">
        <v>0</v>
      </c>
      <c r="S695" s="32" t="n">
        <v>1</v>
      </c>
      <c r="T695" s="32" t="n">
        <v>0</v>
      </c>
      <c r="U695" s="32" t="n">
        <v>0</v>
      </c>
      <c r="V695" s="32" t="n">
        <v>0</v>
      </c>
      <c r="W695" s="32" t="n">
        <v>0</v>
      </c>
      <c r="X695" s="32" t="n">
        <v>0</v>
      </c>
      <c r="Y695" s="32" t="n">
        <v>1</v>
      </c>
      <c r="Z695" s="32" t="n">
        <v>0</v>
      </c>
      <c r="AA695" s="32" t="n">
        <v>0</v>
      </c>
      <c r="AB695" s="32" t="n">
        <v>0</v>
      </c>
      <c r="AC695" s="30" t="s">
        <v>796</v>
      </c>
      <c r="AD695" s="37" t="n">
        <f aca="false">B695-B694</f>
        <v>0.125</v>
      </c>
    </row>
    <row r="696" customFormat="false" ht="15" hidden="false" customHeight="false" outlineLevel="0" collapsed="false">
      <c r="A696" s="33" t="n">
        <v>693</v>
      </c>
      <c r="B696" s="34" t="n">
        <f aca="false">Summary!$B$5+IF(D696=1,0,IF(C696=1,Summary!$B$6,NA()))+(MATCH(1,E696:L696,0)-1)*Summary!$B$7+(MATCH(1,M696:T696,0)-1)*Summary!$B$8+(MATCH(1,U696:AB696,0)-1)*Summary!$B$9</f>
        <v>116.625</v>
      </c>
      <c r="C696" s="35" t="n">
        <v>1</v>
      </c>
      <c r="D696" s="35" t="n">
        <v>0</v>
      </c>
      <c r="E696" s="35" t="n">
        <v>0</v>
      </c>
      <c r="F696" s="35" t="n">
        <v>0</v>
      </c>
      <c r="G696" s="35" t="n">
        <v>0</v>
      </c>
      <c r="H696" s="35" t="n">
        <v>0</v>
      </c>
      <c r="I696" s="35" t="n">
        <v>0</v>
      </c>
      <c r="J696" s="35" t="n">
        <v>0</v>
      </c>
      <c r="K696" s="35" t="n">
        <v>1</v>
      </c>
      <c r="L696" s="35" t="n">
        <v>0</v>
      </c>
      <c r="M696" s="35" t="n">
        <v>0</v>
      </c>
      <c r="N696" s="35" t="n">
        <v>0</v>
      </c>
      <c r="O696" s="35" t="n">
        <v>0</v>
      </c>
      <c r="P696" s="35" t="n">
        <v>0</v>
      </c>
      <c r="Q696" s="35" t="n">
        <v>0</v>
      </c>
      <c r="R696" s="35" t="n">
        <v>0</v>
      </c>
      <c r="S696" s="35" t="n">
        <v>1</v>
      </c>
      <c r="T696" s="35" t="n">
        <v>0</v>
      </c>
      <c r="U696" s="35" t="n">
        <v>0</v>
      </c>
      <c r="V696" s="35" t="n">
        <v>0</v>
      </c>
      <c r="W696" s="35" t="n">
        <v>0</v>
      </c>
      <c r="X696" s="35" t="n">
        <v>0</v>
      </c>
      <c r="Y696" s="35" t="n">
        <v>0</v>
      </c>
      <c r="Z696" s="35" t="n">
        <v>1</v>
      </c>
      <c r="AA696" s="35" t="n">
        <v>0</v>
      </c>
      <c r="AB696" s="35" t="n">
        <v>0</v>
      </c>
      <c r="AC696" s="33" t="s">
        <v>797</v>
      </c>
      <c r="AD696" s="36" t="n">
        <f aca="false">B696-B695</f>
        <v>0.125</v>
      </c>
    </row>
    <row r="697" customFormat="false" ht="15" hidden="false" customHeight="false" outlineLevel="0" collapsed="false">
      <c r="A697" s="30" t="n">
        <v>694</v>
      </c>
      <c r="B697" s="31" t="n">
        <f aca="false">Summary!$B$5+IF(D697=1,0,IF(C697=1,Summary!$B$6,NA()))+(MATCH(1,E697:L697,0)-1)*Summary!$B$7+(MATCH(1,M697:T697,0)-1)*Summary!$B$8+(MATCH(1,U697:AB697,0)-1)*Summary!$B$9</f>
        <v>116.75</v>
      </c>
      <c r="C697" s="32" t="n">
        <v>1</v>
      </c>
      <c r="D697" s="32" t="n">
        <v>0</v>
      </c>
      <c r="E697" s="32" t="n">
        <v>0</v>
      </c>
      <c r="F697" s="32" t="n">
        <v>0</v>
      </c>
      <c r="G697" s="32" t="n">
        <v>0</v>
      </c>
      <c r="H697" s="32" t="n">
        <v>0</v>
      </c>
      <c r="I697" s="32" t="n">
        <v>0</v>
      </c>
      <c r="J697" s="32" t="n">
        <v>0</v>
      </c>
      <c r="K697" s="32" t="n">
        <v>1</v>
      </c>
      <c r="L697" s="32" t="n">
        <v>0</v>
      </c>
      <c r="M697" s="32" t="n">
        <v>0</v>
      </c>
      <c r="N697" s="32" t="n">
        <v>0</v>
      </c>
      <c r="O697" s="32" t="n">
        <v>0</v>
      </c>
      <c r="P697" s="32" t="n">
        <v>0</v>
      </c>
      <c r="Q697" s="32" t="n">
        <v>0</v>
      </c>
      <c r="R697" s="32" t="n">
        <v>0</v>
      </c>
      <c r="S697" s="32" t="n">
        <v>1</v>
      </c>
      <c r="T697" s="32" t="n">
        <v>0</v>
      </c>
      <c r="U697" s="32" t="n">
        <v>0</v>
      </c>
      <c r="V697" s="32" t="n">
        <v>0</v>
      </c>
      <c r="W697" s="32" t="n">
        <v>0</v>
      </c>
      <c r="X697" s="32" t="n">
        <v>0</v>
      </c>
      <c r="Y697" s="32" t="n">
        <v>0</v>
      </c>
      <c r="Z697" s="32" t="n">
        <v>0</v>
      </c>
      <c r="AA697" s="32" t="n">
        <v>1</v>
      </c>
      <c r="AB697" s="32" t="n">
        <v>0</v>
      </c>
      <c r="AC697" s="30" t="s">
        <v>798</v>
      </c>
      <c r="AD697" s="37" t="n">
        <f aca="false">B697-B696</f>
        <v>0.125</v>
      </c>
    </row>
    <row r="698" customFormat="false" ht="15" hidden="false" customHeight="false" outlineLevel="0" collapsed="false">
      <c r="A698" s="33" t="n">
        <v>695</v>
      </c>
      <c r="B698" s="34" t="n">
        <f aca="false">Summary!$B$5+IF(D698=1,0,IF(C698=1,Summary!$B$6,NA()))+(MATCH(1,E698:L698,0)-1)*Summary!$B$7+(MATCH(1,M698:T698,0)-1)*Summary!$B$8+(MATCH(1,U698:AB698,0)-1)*Summary!$B$9</f>
        <v>116.875</v>
      </c>
      <c r="C698" s="35" t="n">
        <v>1</v>
      </c>
      <c r="D698" s="35" t="n">
        <v>0</v>
      </c>
      <c r="E698" s="35" t="n">
        <v>0</v>
      </c>
      <c r="F698" s="35" t="n">
        <v>0</v>
      </c>
      <c r="G698" s="35" t="n">
        <v>0</v>
      </c>
      <c r="H698" s="35" t="n">
        <v>0</v>
      </c>
      <c r="I698" s="35" t="n">
        <v>0</v>
      </c>
      <c r="J698" s="35" t="n">
        <v>0</v>
      </c>
      <c r="K698" s="35" t="n">
        <v>1</v>
      </c>
      <c r="L698" s="35" t="n">
        <v>0</v>
      </c>
      <c r="M698" s="35" t="n">
        <v>0</v>
      </c>
      <c r="N698" s="35" t="n">
        <v>0</v>
      </c>
      <c r="O698" s="35" t="n">
        <v>0</v>
      </c>
      <c r="P698" s="35" t="n">
        <v>0</v>
      </c>
      <c r="Q698" s="35" t="n">
        <v>0</v>
      </c>
      <c r="R698" s="35" t="n">
        <v>0</v>
      </c>
      <c r="S698" s="35" t="n">
        <v>1</v>
      </c>
      <c r="T698" s="35" t="n">
        <v>0</v>
      </c>
      <c r="U698" s="35" t="n">
        <v>0</v>
      </c>
      <c r="V698" s="35" t="n">
        <v>0</v>
      </c>
      <c r="W698" s="35" t="n">
        <v>0</v>
      </c>
      <c r="X698" s="35" t="n">
        <v>0</v>
      </c>
      <c r="Y698" s="35" t="n">
        <v>0</v>
      </c>
      <c r="Z698" s="35" t="n">
        <v>0</v>
      </c>
      <c r="AA698" s="35" t="n">
        <v>0</v>
      </c>
      <c r="AB698" s="35" t="n">
        <v>1</v>
      </c>
      <c r="AC698" s="33" t="s">
        <v>799</v>
      </c>
      <c r="AD698" s="36" t="n">
        <f aca="false">B698-B697</f>
        <v>0.125</v>
      </c>
    </row>
    <row r="699" customFormat="false" ht="15" hidden="false" customHeight="false" outlineLevel="0" collapsed="false">
      <c r="A699" s="30" t="n">
        <v>696</v>
      </c>
      <c r="B699" s="31" t="n">
        <f aca="false">Summary!$B$5+IF(D699=1,0,IF(C699=1,Summary!$B$6,NA()))+(MATCH(1,E699:L699,0)-1)*Summary!$B$7+(MATCH(1,M699:T699,0)-1)*Summary!$B$8+(MATCH(1,U699:AB699,0)-1)*Summary!$B$9</f>
        <v>117</v>
      </c>
      <c r="C699" s="32" t="n">
        <v>1</v>
      </c>
      <c r="D699" s="32" t="n">
        <v>0</v>
      </c>
      <c r="E699" s="32" t="n">
        <v>0</v>
      </c>
      <c r="F699" s="32" t="n">
        <v>0</v>
      </c>
      <c r="G699" s="32" t="n">
        <v>0</v>
      </c>
      <c r="H699" s="32" t="n">
        <v>0</v>
      </c>
      <c r="I699" s="32" t="n">
        <v>0</v>
      </c>
      <c r="J699" s="32" t="n">
        <v>0</v>
      </c>
      <c r="K699" s="32" t="n">
        <v>1</v>
      </c>
      <c r="L699" s="32" t="n">
        <v>0</v>
      </c>
      <c r="M699" s="32" t="n">
        <v>0</v>
      </c>
      <c r="N699" s="32" t="n">
        <v>0</v>
      </c>
      <c r="O699" s="32" t="n">
        <v>0</v>
      </c>
      <c r="P699" s="32" t="n">
        <v>0</v>
      </c>
      <c r="Q699" s="32" t="n">
        <v>0</v>
      </c>
      <c r="R699" s="32" t="n">
        <v>0</v>
      </c>
      <c r="S699" s="32" t="n">
        <v>0</v>
      </c>
      <c r="T699" s="32" t="n">
        <v>1</v>
      </c>
      <c r="U699" s="32" t="n">
        <v>1</v>
      </c>
      <c r="V699" s="32" t="n">
        <v>0</v>
      </c>
      <c r="W699" s="32" t="n">
        <v>0</v>
      </c>
      <c r="X699" s="32" t="n">
        <v>0</v>
      </c>
      <c r="Y699" s="32" t="n">
        <v>0</v>
      </c>
      <c r="Z699" s="32" t="n">
        <v>0</v>
      </c>
      <c r="AA699" s="32" t="n">
        <v>0</v>
      </c>
      <c r="AB699" s="32" t="n">
        <v>0</v>
      </c>
      <c r="AC699" s="30" t="s">
        <v>800</v>
      </c>
      <c r="AD699" s="37" t="n">
        <f aca="false">B699-B698</f>
        <v>0.125</v>
      </c>
    </row>
    <row r="700" customFormat="false" ht="15" hidden="false" customHeight="false" outlineLevel="0" collapsed="false">
      <c r="A700" s="33" t="n">
        <v>697</v>
      </c>
      <c r="B700" s="34" t="n">
        <f aca="false">Summary!$B$5+IF(D700=1,0,IF(C700=1,Summary!$B$6,NA()))+(MATCH(1,E700:L700,0)-1)*Summary!$B$7+(MATCH(1,M700:T700,0)-1)*Summary!$B$8+(MATCH(1,U700:AB700,0)-1)*Summary!$B$9</f>
        <v>117.125</v>
      </c>
      <c r="C700" s="35" t="n">
        <v>1</v>
      </c>
      <c r="D700" s="35" t="n">
        <v>0</v>
      </c>
      <c r="E700" s="35" t="n">
        <v>0</v>
      </c>
      <c r="F700" s="35" t="n">
        <v>0</v>
      </c>
      <c r="G700" s="35" t="n">
        <v>0</v>
      </c>
      <c r="H700" s="35" t="n">
        <v>0</v>
      </c>
      <c r="I700" s="35" t="n">
        <v>0</v>
      </c>
      <c r="J700" s="35" t="n">
        <v>0</v>
      </c>
      <c r="K700" s="35" t="n">
        <v>1</v>
      </c>
      <c r="L700" s="35" t="n">
        <v>0</v>
      </c>
      <c r="M700" s="35" t="n">
        <v>0</v>
      </c>
      <c r="N700" s="35" t="n">
        <v>0</v>
      </c>
      <c r="O700" s="35" t="n">
        <v>0</v>
      </c>
      <c r="P700" s="35" t="n">
        <v>0</v>
      </c>
      <c r="Q700" s="35" t="n">
        <v>0</v>
      </c>
      <c r="R700" s="35" t="n">
        <v>0</v>
      </c>
      <c r="S700" s="35" t="n">
        <v>0</v>
      </c>
      <c r="T700" s="35" t="n">
        <v>1</v>
      </c>
      <c r="U700" s="35" t="n">
        <v>0</v>
      </c>
      <c r="V700" s="35" t="n">
        <v>1</v>
      </c>
      <c r="W700" s="35" t="n">
        <v>0</v>
      </c>
      <c r="X700" s="35" t="n">
        <v>0</v>
      </c>
      <c r="Y700" s="35" t="n">
        <v>0</v>
      </c>
      <c r="Z700" s="35" t="n">
        <v>0</v>
      </c>
      <c r="AA700" s="35" t="n">
        <v>0</v>
      </c>
      <c r="AB700" s="35" t="n">
        <v>0</v>
      </c>
      <c r="AC700" s="33" t="s">
        <v>801</v>
      </c>
      <c r="AD700" s="36" t="n">
        <f aca="false">B700-B699</f>
        <v>0.125</v>
      </c>
    </row>
    <row r="701" customFormat="false" ht="15" hidden="false" customHeight="false" outlineLevel="0" collapsed="false">
      <c r="A701" s="30" t="n">
        <v>698</v>
      </c>
      <c r="B701" s="31" t="n">
        <f aca="false">Summary!$B$5+IF(D701=1,0,IF(C701=1,Summary!$B$6,NA()))+(MATCH(1,E701:L701,0)-1)*Summary!$B$7+(MATCH(1,M701:T701,0)-1)*Summary!$B$8+(MATCH(1,U701:AB701,0)-1)*Summary!$B$9</f>
        <v>117.25</v>
      </c>
      <c r="C701" s="32" t="n">
        <v>1</v>
      </c>
      <c r="D701" s="32" t="n">
        <v>0</v>
      </c>
      <c r="E701" s="32" t="n">
        <v>0</v>
      </c>
      <c r="F701" s="32" t="n">
        <v>0</v>
      </c>
      <c r="G701" s="32" t="n">
        <v>0</v>
      </c>
      <c r="H701" s="32" t="n">
        <v>0</v>
      </c>
      <c r="I701" s="32" t="n">
        <v>0</v>
      </c>
      <c r="J701" s="32" t="n">
        <v>0</v>
      </c>
      <c r="K701" s="32" t="n">
        <v>1</v>
      </c>
      <c r="L701" s="32" t="n">
        <v>0</v>
      </c>
      <c r="M701" s="32" t="n">
        <v>0</v>
      </c>
      <c r="N701" s="32" t="n">
        <v>0</v>
      </c>
      <c r="O701" s="32" t="n">
        <v>0</v>
      </c>
      <c r="P701" s="32" t="n">
        <v>0</v>
      </c>
      <c r="Q701" s="32" t="n">
        <v>0</v>
      </c>
      <c r="R701" s="32" t="n">
        <v>0</v>
      </c>
      <c r="S701" s="32" t="n">
        <v>0</v>
      </c>
      <c r="T701" s="32" t="n">
        <v>1</v>
      </c>
      <c r="U701" s="32" t="n">
        <v>0</v>
      </c>
      <c r="V701" s="32" t="n">
        <v>0</v>
      </c>
      <c r="W701" s="32" t="n">
        <v>1</v>
      </c>
      <c r="X701" s="32" t="n">
        <v>0</v>
      </c>
      <c r="Y701" s="32" t="n">
        <v>0</v>
      </c>
      <c r="Z701" s="32" t="n">
        <v>0</v>
      </c>
      <c r="AA701" s="32" t="n">
        <v>0</v>
      </c>
      <c r="AB701" s="32" t="n">
        <v>0</v>
      </c>
      <c r="AC701" s="30" t="s">
        <v>802</v>
      </c>
      <c r="AD701" s="37" t="n">
        <f aca="false">B701-B700</f>
        <v>0.125</v>
      </c>
    </row>
    <row r="702" customFormat="false" ht="15" hidden="false" customHeight="false" outlineLevel="0" collapsed="false">
      <c r="A702" s="33" t="n">
        <v>699</v>
      </c>
      <c r="B702" s="34" t="n">
        <f aca="false">Summary!$B$5+IF(D702=1,0,IF(C702=1,Summary!$B$6,NA()))+(MATCH(1,E702:L702,0)-1)*Summary!$B$7+(MATCH(1,M702:T702,0)-1)*Summary!$B$8+(MATCH(1,U702:AB702,0)-1)*Summary!$B$9</f>
        <v>117.375</v>
      </c>
      <c r="C702" s="35" t="n">
        <v>1</v>
      </c>
      <c r="D702" s="35" t="n">
        <v>0</v>
      </c>
      <c r="E702" s="35" t="n">
        <v>0</v>
      </c>
      <c r="F702" s="35" t="n">
        <v>0</v>
      </c>
      <c r="G702" s="35" t="n">
        <v>0</v>
      </c>
      <c r="H702" s="35" t="n">
        <v>0</v>
      </c>
      <c r="I702" s="35" t="n">
        <v>0</v>
      </c>
      <c r="J702" s="35" t="n">
        <v>0</v>
      </c>
      <c r="K702" s="35" t="n">
        <v>1</v>
      </c>
      <c r="L702" s="35" t="n">
        <v>0</v>
      </c>
      <c r="M702" s="35" t="n">
        <v>0</v>
      </c>
      <c r="N702" s="35" t="n">
        <v>0</v>
      </c>
      <c r="O702" s="35" t="n">
        <v>0</v>
      </c>
      <c r="P702" s="35" t="n">
        <v>0</v>
      </c>
      <c r="Q702" s="35" t="n">
        <v>0</v>
      </c>
      <c r="R702" s="35" t="n">
        <v>0</v>
      </c>
      <c r="S702" s="35" t="n">
        <v>0</v>
      </c>
      <c r="T702" s="35" t="n">
        <v>1</v>
      </c>
      <c r="U702" s="35" t="n">
        <v>0</v>
      </c>
      <c r="V702" s="35" t="n">
        <v>0</v>
      </c>
      <c r="W702" s="35" t="n">
        <v>0</v>
      </c>
      <c r="X702" s="35" t="n">
        <v>1</v>
      </c>
      <c r="Y702" s="35" t="n">
        <v>0</v>
      </c>
      <c r="Z702" s="35" t="n">
        <v>0</v>
      </c>
      <c r="AA702" s="35" t="n">
        <v>0</v>
      </c>
      <c r="AB702" s="35" t="n">
        <v>0</v>
      </c>
      <c r="AC702" s="33" t="s">
        <v>803</v>
      </c>
      <c r="AD702" s="36" t="n">
        <f aca="false">B702-B701</f>
        <v>0.125</v>
      </c>
    </row>
    <row r="703" customFormat="false" ht="15" hidden="false" customHeight="false" outlineLevel="0" collapsed="false">
      <c r="A703" s="30" t="n">
        <v>700</v>
      </c>
      <c r="B703" s="31" t="n">
        <f aca="false">Summary!$B$5+IF(D703=1,0,IF(C703=1,Summary!$B$6,NA()))+(MATCH(1,E703:L703,0)-1)*Summary!$B$7+(MATCH(1,M703:T703,0)-1)*Summary!$B$8+(MATCH(1,U703:AB703,0)-1)*Summary!$B$9</f>
        <v>117.5</v>
      </c>
      <c r="C703" s="32" t="n">
        <v>1</v>
      </c>
      <c r="D703" s="32" t="n">
        <v>0</v>
      </c>
      <c r="E703" s="32" t="n">
        <v>0</v>
      </c>
      <c r="F703" s="32" t="n">
        <v>0</v>
      </c>
      <c r="G703" s="32" t="n">
        <v>0</v>
      </c>
      <c r="H703" s="32" t="n">
        <v>0</v>
      </c>
      <c r="I703" s="32" t="n">
        <v>0</v>
      </c>
      <c r="J703" s="32" t="n">
        <v>0</v>
      </c>
      <c r="K703" s="32" t="n">
        <v>1</v>
      </c>
      <c r="L703" s="32" t="n">
        <v>0</v>
      </c>
      <c r="M703" s="32" t="n">
        <v>0</v>
      </c>
      <c r="N703" s="32" t="n">
        <v>0</v>
      </c>
      <c r="O703" s="32" t="n">
        <v>0</v>
      </c>
      <c r="P703" s="32" t="n">
        <v>0</v>
      </c>
      <c r="Q703" s="32" t="n">
        <v>0</v>
      </c>
      <c r="R703" s="32" t="n">
        <v>0</v>
      </c>
      <c r="S703" s="32" t="n">
        <v>0</v>
      </c>
      <c r="T703" s="32" t="n">
        <v>1</v>
      </c>
      <c r="U703" s="32" t="n">
        <v>0</v>
      </c>
      <c r="V703" s="32" t="n">
        <v>0</v>
      </c>
      <c r="W703" s="32" t="n">
        <v>0</v>
      </c>
      <c r="X703" s="32" t="n">
        <v>0</v>
      </c>
      <c r="Y703" s="32" t="n">
        <v>1</v>
      </c>
      <c r="Z703" s="32" t="n">
        <v>0</v>
      </c>
      <c r="AA703" s="32" t="n">
        <v>0</v>
      </c>
      <c r="AB703" s="32" t="n">
        <v>0</v>
      </c>
      <c r="AC703" s="30" t="s">
        <v>804</v>
      </c>
      <c r="AD703" s="37" t="n">
        <f aca="false">B703-B702</f>
        <v>0.125</v>
      </c>
    </row>
    <row r="704" customFormat="false" ht="15" hidden="false" customHeight="false" outlineLevel="0" collapsed="false">
      <c r="A704" s="33" t="n">
        <v>701</v>
      </c>
      <c r="B704" s="34" t="n">
        <f aca="false">Summary!$B$5+IF(D704=1,0,IF(C704=1,Summary!$B$6,NA()))+(MATCH(1,E704:L704,0)-1)*Summary!$B$7+(MATCH(1,M704:T704,0)-1)*Summary!$B$8+(MATCH(1,U704:AB704,0)-1)*Summary!$B$9</f>
        <v>117.625</v>
      </c>
      <c r="C704" s="35" t="n">
        <v>1</v>
      </c>
      <c r="D704" s="35" t="n">
        <v>0</v>
      </c>
      <c r="E704" s="35" t="n">
        <v>0</v>
      </c>
      <c r="F704" s="35" t="n">
        <v>0</v>
      </c>
      <c r="G704" s="35" t="n">
        <v>0</v>
      </c>
      <c r="H704" s="35" t="n">
        <v>0</v>
      </c>
      <c r="I704" s="35" t="n">
        <v>0</v>
      </c>
      <c r="J704" s="35" t="n">
        <v>0</v>
      </c>
      <c r="K704" s="35" t="n">
        <v>1</v>
      </c>
      <c r="L704" s="35" t="n">
        <v>0</v>
      </c>
      <c r="M704" s="35" t="n">
        <v>0</v>
      </c>
      <c r="N704" s="35" t="n">
        <v>0</v>
      </c>
      <c r="O704" s="35" t="n">
        <v>0</v>
      </c>
      <c r="P704" s="35" t="n">
        <v>0</v>
      </c>
      <c r="Q704" s="35" t="n">
        <v>0</v>
      </c>
      <c r="R704" s="35" t="n">
        <v>0</v>
      </c>
      <c r="S704" s="35" t="n">
        <v>0</v>
      </c>
      <c r="T704" s="35" t="n">
        <v>1</v>
      </c>
      <c r="U704" s="35" t="n">
        <v>0</v>
      </c>
      <c r="V704" s="35" t="n">
        <v>0</v>
      </c>
      <c r="W704" s="35" t="n">
        <v>0</v>
      </c>
      <c r="X704" s="35" t="n">
        <v>0</v>
      </c>
      <c r="Y704" s="35" t="n">
        <v>0</v>
      </c>
      <c r="Z704" s="35" t="n">
        <v>1</v>
      </c>
      <c r="AA704" s="35" t="n">
        <v>0</v>
      </c>
      <c r="AB704" s="35" t="n">
        <v>0</v>
      </c>
      <c r="AC704" s="33" t="s">
        <v>805</v>
      </c>
      <c r="AD704" s="36" t="n">
        <f aca="false">B704-B703</f>
        <v>0.125</v>
      </c>
    </row>
    <row r="705" customFormat="false" ht="15" hidden="false" customHeight="false" outlineLevel="0" collapsed="false">
      <c r="A705" s="30" t="n">
        <v>702</v>
      </c>
      <c r="B705" s="31" t="n">
        <f aca="false">Summary!$B$5+IF(D705=1,0,IF(C705=1,Summary!$B$6,NA()))+(MATCH(1,E705:L705,0)-1)*Summary!$B$7+(MATCH(1,M705:T705,0)-1)*Summary!$B$8+(MATCH(1,U705:AB705,0)-1)*Summary!$B$9</f>
        <v>117.75</v>
      </c>
      <c r="C705" s="32" t="n">
        <v>1</v>
      </c>
      <c r="D705" s="32" t="n">
        <v>0</v>
      </c>
      <c r="E705" s="32" t="n">
        <v>0</v>
      </c>
      <c r="F705" s="32" t="n">
        <v>0</v>
      </c>
      <c r="G705" s="32" t="n">
        <v>0</v>
      </c>
      <c r="H705" s="32" t="n">
        <v>0</v>
      </c>
      <c r="I705" s="32" t="n">
        <v>0</v>
      </c>
      <c r="J705" s="32" t="n">
        <v>0</v>
      </c>
      <c r="K705" s="32" t="n">
        <v>1</v>
      </c>
      <c r="L705" s="32" t="n">
        <v>0</v>
      </c>
      <c r="M705" s="32" t="n">
        <v>0</v>
      </c>
      <c r="N705" s="32" t="n">
        <v>0</v>
      </c>
      <c r="O705" s="32" t="n">
        <v>0</v>
      </c>
      <c r="P705" s="32" t="n">
        <v>0</v>
      </c>
      <c r="Q705" s="32" t="n">
        <v>0</v>
      </c>
      <c r="R705" s="32" t="n">
        <v>0</v>
      </c>
      <c r="S705" s="32" t="n">
        <v>0</v>
      </c>
      <c r="T705" s="32" t="n">
        <v>1</v>
      </c>
      <c r="U705" s="32" t="n">
        <v>0</v>
      </c>
      <c r="V705" s="32" t="n">
        <v>0</v>
      </c>
      <c r="W705" s="32" t="n">
        <v>0</v>
      </c>
      <c r="X705" s="32" t="n">
        <v>0</v>
      </c>
      <c r="Y705" s="32" t="n">
        <v>0</v>
      </c>
      <c r="Z705" s="32" t="n">
        <v>0</v>
      </c>
      <c r="AA705" s="32" t="n">
        <v>1</v>
      </c>
      <c r="AB705" s="32" t="n">
        <v>0</v>
      </c>
      <c r="AC705" s="30" t="s">
        <v>806</v>
      </c>
      <c r="AD705" s="37" t="n">
        <f aca="false">B705-B704</f>
        <v>0.125</v>
      </c>
    </row>
    <row r="706" customFormat="false" ht="15" hidden="false" customHeight="false" outlineLevel="0" collapsed="false">
      <c r="A706" s="33" t="n">
        <v>703</v>
      </c>
      <c r="B706" s="34" t="n">
        <f aca="false">Summary!$B$5+IF(D706=1,0,IF(C706=1,Summary!$B$6,NA()))+(MATCH(1,E706:L706,0)-1)*Summary!$B$7+(MATCH(1,M706:T706,0)-1)*Summary!$B$8+(MATCH(1,U706:AB706,0)-1)*Summary!$B$9</f>
        <v>117.875</v>
      </c>
      <c r="C706" s="35" t="n">
        <v>1</v>
      </c>
      <c r="D706" s="35" t="n">
        <v>0</v>
      </c>
      <c r="E706" s="35" t="n">
        <v>0</v>
      </c>
      <c r="F706" s="35" t="n">
        <v>0</v>
      </c>
      <c r="G706" s="35" t="n">
        <v>0</v>
      </c>
      <c r="H706" s="35" t="n">
        <v>0</v>
      </c>
      <c r="I706" s="35" t="n">
        <v>0</v>
      </c>
      <c r="J706" s="35" t="n">
        <v>0</v>
      </c>
      <c r="K706" s="35" t="n">
        <v>1</v>
      </c>
      <c r="L706" s="35" t="n">
        <v>0</v>
      </c>
      <c r="M706" s="35" t="n">
        <v>0</v>
      </c>
      <c r="N706" s="35" t="n">
        <v>0</v>
      </c>
      <c r="O706" s="35" t="n">
        <v>0</v>
      </c>
      <c r="P706" s="35" t="n">
        <v>0</v>
      </c>
      <c r="Q706" s="35" t="n">
        <v>0</v>
      </c>
      <c r="R706" s="35" t="n">
        <v>0</v>
      </c>
      <c r="S706" s="35" t="n">
        <v>0</v>
      </c>
      <c r="T706" s="35" t="n">
        <v>1</v>
      </c>
      <c r="U706" s="35" t="n">
        <v>0</v>
      </c>
      <c r="V706" s="35" t="n">
        <v>0</v>
      </c>
      <c r="W706" s="35" t="n">
        <v>0</v>
      </c>
      <c r="X706" s="35" t="n">
        <v>0</v>
      </c>
      <c r="Y706" s="35" t="n">
        <v>0</v>
      </c>
      <c r="Z706" s="35" t="n">
        <v>0</v>
      </c>
      <c r="AA706" s="35" t="n">
        <v>0</v>
      </c>
      <c r="AB706" s="35" t="n">
        <v>1</v>
      </c>
      <c r="AC706" s="33" t="s">
        <v>807</v>
      </c>
      <c r="AD706" s="36" t="n">
        <f aca="false">B706-B705</f>
        <v>0.125</v>
      </c>
    </row>
    <row r="707" customFormat="false" ht="15" hidden="false" customHeight="false" outlineLevel="0" collapsed="false">
      <c r="A707" s="30" t="n">
        <v>704</v>
      </c>
      <c r="B707" s="31" t="n">
        <f aca="false">Summary!$B$5+IF(D707=1,0,IF(C707=1,Summary!$B$6,NA()))+(MATCH(1,E707:L707,0)-1)*Summary!$B$7+(MATCH(1,M707:T707,0)-1)*Summary!$B$8+(MATCH(1,U707:AB707,0)-1)*Summary!$B$9</f>
        <v>118</v>
      </c>
      <c r="C707" s="32" t="n">
        <v>1</v>
      </c>
      <c r="D707" s="32" t="n">
        <v>0</v>
      </c>
      <c r="E707" s="32" t="n">
        <v>0</v>
      </c>
      <c r="F707" s="32" t="n">
        <v>0</v>
      </c>
      <c r="G707" s="32" t="n">
        <v>0</v>
      </c>
      <c r="H707" s="32" t="n">
        <v>0</v>
      </c>
      <c r="I707" s="32" t="n">
        <v>0</v>
      </c>
      <c r="J707" s="32" t="n">
        <v>0</v>
      </c>
      <c r="K707" s="32" t="n">
        <v>0</v>
      </c>
      <c r="L707" s="32" t="n">
        <v>1</v>
      </c>
      <c r="M707" s="32" t="n">
        <v>1</v>
      </c>
      <c r="N707" s="32" t="n">
        <v>0</v>
      </c>
      <c r="O707" s="32" t="n">
        <v>0</v>
      </c>
      <c r="P707" s="32" t="n">
        <v>0</v>
      </c>
      <c r="Q707" s="32" t="n">
        <v>0</v>
      </c>
      <c r="R707" s="32" t="n">
        <v>0</v>
      </c>
      <c r="S707" s="32" t="n">
        <v>0</v>
      </c>
      <c r="T707" s="32" t="n">
        <v>0</v>
      </c>
      <c r="U707" s="32" t="n">
        <v>1</v>
      </c>
      <c r="V707" s="32" t="n">
        <v>0</v>
      </c>
      <c r="W707" s="32" t="n">
        <v>0</v>
      </c>
      <c r="X707" s="32" t="n">
        <v>0</v>
      </c>
      <c r="Y707" s="32" t="n">
        <v>0</v>
      </c>
      <c r="Z707" s="32" t="n">
        <v>0</v>
      </c>
      <c r="AA707" s="32" t="n">
        <v>0</v>
      </c>
      <c r="AB707" s="32" t="n">
        <v>0</v>
      </c>
      <c r="AC707" s="30" t="s">
        <v>808</v>
      </c>
      <c r="AD707" s="37" t="n">
        <f aca="false">B707-B706</f>
        <v>0.125</v>
      </c>
    </row>
    <row r="708" customFormat="false" ht="15" hidden="false" customHeight="false" outlineLevel="0" collapsed="false">
      <c r="A708" s="33" t="n">
        <v>705</v>
      </c>
      <c r="B708" s="34" t="n">
        <f aca="false">Summary!$B$5+IF(D708=1,0,IF(C708=1,Summary!$B$6,NA()))+(MATCH(1,E708:L708,0)-1)*Summary!$B$7+(MATCH(1,M708:T708,0)-1)*Summary!$B$8+(MATCH(1,U708:AB708,0)-1)*Summary!$B$9</f>
        <v>118.125</v>
      </c>
      <c r="C708" s="35" t="n">
        <v>1</v>
      </c>
      <c r="D708" s="35" t="n">
        <v>0</v>
      </c>
      <c r="E708" s="35" t="n">
        <v>0</v>
      </c>
      <c r="F708" s="35" t="n">
        <v>0</v>
      </c>
      <c r="G708" s="35" t="n">
        <v>0</v>
      </c>
      <c r="H708" s="35" t="n">
        <v>0</v>
      </c>
      <c r="I708" s="35" t="n">
        <v>0</v>
      </c>
      <c r="J708" s="35" t="n">
        <v>0</v>
      </c>
      <c r="K708" s="35" t="n">
        <v>0</v>
      </c>
      <c r="L708" s="35" t="n">
        <v>1</v>
      </c>
      <c r="M708" s="35" t="n">
        <v>1</v>
      </c>
      <c r="N708" s="35" t="n">
        <v>0</v>
      </c>
      <c r="O708" s="35" t="n">
        <v>0</v>
      </c>
      <c r="P708" s="35" t="n">
        <v>0</v>
      </c>
      <c r="Q708" s="35" t="n">
        <v>0</v>
      </c>
      <c r="R708" s="35" t="n">
        <v>0</v>
      </c>
      <c r="S708" s="35" t="n">
        <v>0</v>
      </c>
      <c r="T708" s="35" t="n">
        <v>0</v>
      </c>
      <c r="U708" s="35" t="n">
        <v>0</v>
      </c>
      <c r="V708" s="35" t="n">
        <v>1</v>
      </c>
      <c r="W708" s="35" t="n">
        <v>0</v>
      </c>
      <c r="X708" s="35" t="n">
        <v>0</v>
      </c>
      <c r="Y708" s="35" t="n">
        <v>0</v>
      </c>
      <c r="Z708" s="35" t="n">
        <v>0</v>
      </c>
      <c r="AA708" s="35" t="n">
        <v>0</v>
      </c>
      <c r="AB708" s="35" t="n">
        <v>0</v>
      </c>
      <c r="AC708" s="33" t="s">
        <v>809</v>
      </c>
      <c r="AD708" s="36" t="n">
        <f aca="false">B708-B707</f>
        <v>0.125</v>
      </c>
    </row>
    <row r="709" customFormat="false" ht="15" hidden="false" customHeight="false" outlineLevel="0" collapsed="false">
      <c r="A709" s="30" t="n">
        <v>706</v>
      </c>
      <c r="B709" s="31" t="n">
        <f aca="false">Summary!$B$5+IF(D709=1,0,IF(C709=1,Summary!$B$6,NA()))+(MATCH(1,E709:L709,0)-1)*Summary!$B$7+(MATCH(1,M709:T709,0)-1)*Summary!$B$8+(MATCH(1,U709:AB709,0)-1)*Summary!$B$9</f>
        <v>118.25</v>
      </c>
      <c r="C709" s="32" t="n">
        <v>1</v>
      </c>
      <c r="D709" s="32" t="n">
        <v>0</v>
      </c>
      <c r="E709" s="32" t="n">
        <v>0</v>
      </c>
      <c r="F709" s="32" t="n">
        <v>0</v>
      </c>
      <c r="G709" s="32" t="n">
        <v>0</v>
      </c>
      <c r="H709" s="32" t="n">
        <v>0</v>
      </c>
      <c r="I709" s="32" t="n">
        <v>0</v>
      </c>
      <c r="J709" s="32" t="n">
        <v>0</v>
      </c>
      <c r="K709" s="32" t="n">
        <v>0</v>
      </c>
      <c r="L709" s="32" t="n">
        <v>1</v>
      </c>
      <c r="M709" s="32" t="n">
        <v>1</v>
      </c>
      <c r="N709" s="32" t="n">
        <v>0</v>
      </c>
      <c r="O709" s="32" t="n">
        <v>0</v>
      </c>
      <c r="P709" s="32" t="n">
        <v>0</v>
      </c>
      <c r="Q709" s="32" t="n">
        <v>0</v>
      </c>
      <c r="R709" s="32" t="n">
        <v>0</v>
      </c>
      <c r="S709" s="32" t="n">
        <v>0</v>
      </c>
      <c r="T709" s="32" t="n">
        <v>0</v>
      </c>
      <c r="U709" s="32" t="n">
        <v>0</v>
      </c>
      <c r="V709" s="32" t="n">
        <v>0</v>
      </c>
      <c r="W709" s="32" t="n">
        <v>1</v>
      </c>
      <c r="X709" s="32" t="n">
        <v>0</v>
      </c>
      <c r="Y709" s="32" t="n">
        <v>0</v>
      </c>
      <c r="Z709" s="32" t="n">
        <v>0</v>
      </c>
      <c r="AA709" s="32" t="n">
        <v>0</v>
      </c>
      <c r="AB709" s="32" t="n">
        <v>0</v>
      </c>
      <c r="AC709" s="30" t="s">
        <v>810</v>
      </c>
      <c r="AD709" s="37" t="n">
        <f aca="false">B709-B708</f>
        <v>0.125</v>
      </c>
    </row>
    <row r="710" customFormat="false" ht="15" hidden="false" customHeight="false" outlineLevel="0" collapsed="false">
      <c r="A710" s="33" t="n">
        <v>707</v>
      </c>
      <c r="B710" s="34" t="n">
        <f aca="false">Summary!$B$5+IF(D710=1,0,IF(C710=1,Summary!$B$6,NA()))+(MATCH(1,E710:L710,0)-1)*Summary!$B$7+(MATCH(1,M710:T710,0)-1)*Summary!$B$8+(MATCH(1,U710:AB710,0)-1)*Summary!$B$9</f>
        <v>118.375</v>
      </c>
      <c r="C710" s="35" t="n">
        <v>1</v>
      </c>
      <c r="D710" s="35" t="n">
        <v>0</v>
      </c>
      <c r="E710" s="35" t="n">
        <v>0</v>
      </c>
      <c r="F710" s="35" t="n">
        <v>0</v>
      </c>
      <c r="G710" s="35" t="n">
        <v>0</v>
      </c>
      <c r="H710" s="35" t="n">
        <v>0</v>
      </c>
      <c r="I710" s="35" t="n">
        <v>0</v>
      </c>
      <c r="J710" s="35" t="n">
        <v>0</v>
      </c>
      <c r="K710" s="35" t="n">
        <v>0</v>
      </c>
      <c r="L710" s="35" t="n">
        <v>1</v>
      </c>
      <c r="M710" s="35" t="n">
        <v>1</v>
      </c>
      <c r="N710" s="35" t="n">
        <v>0</v>
      </c>
      <c r="O710" s="35" t="n">
        <v>0</v>
      </c>
      <c r="P710" s="35" t="n">
        <v>0</v>
      </c>
      <c r="Q710" s="35" t="n">
        <v>0</v>
      </c>
      <c r="R710" s="35" t="n">
        <v>0</v>
      </c>
      <c r="S710" s="35" t="n">
        <v>0</v>
      </c>
      <c r="T710" s="35" t="n">
        <v>0</v>
      </c>
      <c r="U710" s="35" t="n">
        <v>0</v>
      </c>
      <c r="V710" s="35" t="n">
        <v>0</v>
      </c>
      <c r="W710" s="35" t="n">
        <v>0</v>
      </c>
      <c r="X710" s="35" t="n">
        <v>1</v>
      </c>
      <c r="Y710" s="35" t="n">
        <v>0</v>
      </c>
      <c r="Z710" s="35" t="n">
        <v>0</v>
      </c>
      <c r="AA710" s="35" t="n">
        <v>0</v>
      </c>
      <c r="AB710" s="35" t="n">
        <v>0</v>
      </c>
      <c r="AC710" s="33" t="s">
        <v>811</v>
      </c>
      <c r="AD710" s="36" t="n">
        <f aca="false">B710-B709</f>
        <v>0.125</v>
      </c>
    </row>
    <row r="711" customFormat="false" ht="15" hidden="false" customHeight="false" outlineLevel="0" collapsed="false">
      <c r="A711" s="30" t="n">
        <v>708</v>
      </c>
      <c r="B711" s="31" t="n">
        <f aca="false">Summary!$B$5+IF(D711=1,0,IF(C711=1,Summary!$B$6,NA()))+(MATCH(1,E711:L711,0)-1)*Summary!$B$7+(MATCH(1,M711:T711,0)-1)*Summary!$B$8+(MATCH(1,U711:AB711,0)-1)*Summary!$B$9</f>
        <v>118.5</v>
      </c>
      <c r="C711" s="32" t="n">
        <v>1</v>
      </c>
      <c r="D711" s="32" t="n">
        <v>0</v>
      </c>
      <c r="E711" s="32" t="n">
        <v>0</v>
      </c>
      <c r="F711" s="32" t="n">
        <v>0</v>
      </c>
      <c r="G711" s="32" t="n">
        <v>0</v>
      </c>
      <c r="H711" s="32" t="n">
        <v>0</v>
      </c>
      <c r="I711" s="32" t="n">
        <v>0</v>
      </c>
      <c r="J711" s="32" t="n">
        <v>0</v>
      </c>
      <c r="K711" s="32" t="n">
        <v>0</v>
      </c>
      <c r="L711" s="32" t="n">
        <v>1</v>
      </c>
      <c r="M711" s="32" t="n">
        <v>1</v>
      </c>
      <c r="N711" s="32" t="n">
        <v>0</v>
      </c>
      <c r="O711" s="32" t="n">
        <v>0</v>
      </c>
      <c r="P711" s="32" t="n">
        <v>0</v>
      </c>
      <c r="Q711" s="32" t="n">
        <v>0</v>
      </c>
      <c r="R711" s="32" t="n">
        <v>0</v>
      </c>
      <c r="S711" s="32" t="n">
        <v>0</v>
      </c>
      <c r="T711" s="32" t="n">
        <v>0</v>
      </c>
      <c r="U711" s="32" t="n">
        <v>0</v>
      </c>
      <c r="V711" s="32" t="n">
        <v>0</v>
      </c>
      <c r="W711" s="32" t="n">
        <v>0</v>
      </c>
      <c r="X711" s="32" t="n">
        <v>0</v>
      </c>
      <c r="Y711" s="32" t="n">
        <v>1</v>
      </c>
      <c r="Z711" s="32" t="n">
        <v>0</v>
      </c>
      <c r="AA711" s="32" t="n">
        <v>0</v>
      </c>
      <c r="AB711" s="32" t="n">
        <v>0</v>
      </c>
      <c r="AC711" s="30" t="s">
        <v>812</v>
      </c>
      <c r="AD711" s="37" t="n">
        <f aca="false">B711-B710</f>
        <v>0.125</v>
      </c>
    </row>
    <row r="712" customFormat="false" ht="15" hidden="false" customHeight="false" outlineLevel="0" collapsed="false">
      <c r="A712" s="33" t="n">
        <v>709</v>
      </c>
      <c r="B712" s="34" t="n">
        <f aca="false">Summary!$B$5+IF(D712=1,0,IF(C712=1,Summary!$B$6,NA()))+(MATCH(1,E712:L712,0)-1)*Summary!$B$7+(MATCH(1,M712:T712,0)-1)*Summary!$B$8+(MATCH(1,U712:AB712,0)-1)*Summary!$B$9</f>
        <v>118.625</v>
      </c>
      <c r="C712" s="35" t="n">
        <v>1</v>
      </c>
      <c r="D712" s="35" t="n">
        <v>0</v>
      </c>
      <c r="E712" s="35" t="n">
        <v>0</v>
      </c>
      <c r="F712" s="35" t="n">
        <v>0</v>
      </c>
      <c r="G712" s="35" t="n">
        <v>0</v>
      </c>
      <c r="H712" s="35" t="n">
        <v>0</v>
      </c>
      <c r="I712" s="35" t="n">
        <v>0</v>
      </c>
      <c r="J712" s="35" t="n">
        <v>0</v>
      </c>
      <c r="K712" s="35" t="n">
        <v>0</v>
      </c>
      <c r="L712" s="35" t="n">
        <v>1</v>
      </c>
      <c r="M712" s="35" t="n">
        <v>1</v>
      </c>
      <c r="N712" s="35" t="n">
        <v>0</v>
      </c>
      <c r="O712" s="35" t="n">
        <v>0</v>
      </c>
      <c r="P712" s="35" t="n">
        <v>0</v>
      </c>
      <c r="Q712" s="35" t="n">
        <v>0</v>
      </c>
      <c r="R712" s="35" t="n">
        <v>0</v>
      </c>
      <c r="S712" s="35" t="n">
        <v>0</v>
      </c>
      <c r="T712" s="35" t="n">
        <v>0</v>
      </c>
      <c r="U712" s="35" t="n">
        <v>0</v>
      </c>
      <c r="V712" s="35" t="n">
        <v>0</v>
      </c>
      <c r="W712" s="35" t="n">
        <v>0</v>
      </c>
      <c r="X712" s="35" t="n">
        <v>0</v>
      </c>
      <c r="Y712" s="35" t="n">
        <v>0</v>
      </c>
      <c r="Z712" s="35" t="n">
        <v>1</v>
      </c>
      <c r="AA712" s="35" t="n">
        <v>0</v>
      </c>
      <c r="AB712" s="35" t="n">
        <v>0</v>
      </c>
      <c r="AC712" s="33" t="s">
        <v>813</v>
      </c>
      <c r="AD712" s="36" t="n">
        <f aca="false">B712-B711</f>
        <v>0.125</v>
      </c>
    </row>
    <row r="713" customFormat="false" ht="15" hidden="false" customHeight="false" outlineLevel="0" collapsed="false">
      <c r="A713" s="30" t="n">
        <v>710</v>
      </c>
      <c r="B713" s="31" t="n">
        <f aca="false">Summary!$B$5+IF(D713=1,0,IF(C713=1,Summary!$B$6,NA()))+(MATCH(1,E713:L713,0)-1)*Summary!$B$7+(MATCH(1,M713:T713,0)-1)*Summary!$B$8+(MATCH(1,U713:AB713,0)-1)*Summary!$B$9</f>
        <v>118.75</v>
      </c>
      <c r="C713" s="32" t="n">
        <v>1</v>
      </c>
      <c r="D713" s="32" t="n">
        <v>0</v>
      </c>
      <c r="E713" s="32" t="n">
        <v>0</v>
      </c>
      <c r="F713" s="32" t="n">
        <v>0</v>
      </c>
      <c r="G713" s="32" t="n">
        <v>0</v>
      </c>
      <c r="H713" s="32" t="n">
        <v>0</v>
      </c>
      <c r="I713" s="32" t="n">
        <v>0</v>
      </c>
      <c r="J713" s="32" t="n">
        <v>0</v>
      </c>
      <c r="K713" s="32" t="n">
        <v>0</v>
      </c>
      <c r="L713" s="32" t="n">
        <v>1</v>
      </c>
      <c r="M713" s="32" t="n">
        <v>1</v>
      </c>
      <c r="N713" s="32" t="n">
        <v>0</v>
      </c>
      <c r="O713" s="32" t="n">
        <v>0</v>
      </c>
      <c r="P713" s="32" t="n">
        <v>0</v>
      </c>
      <c r="Q713" s="32" t="n">
        <v>0</v>
      </c>
      <c r="R713" s="32" t="n">
        <v>0</v>
      </c>
      <c r="S713" s="32" t="n">
        <v>0</v>
      </c>
      <c r="T713" s="32" t="n">
        <v>0</v>
      </c>
      <c r="U713" s="32" t="n">
        <v>0</v>
      </c>
      <c r="V713" s="32" t="n">
        <v>0</v>
      </c>
      <c r="W713" s="32" t="n">
        <v>0</v>
      </c>
      <c r="X713" s="32" t="n">
        <v>0</v>
      </c>
      <c r="Y713" s="32" t="n">
        <v>0</v>
      </c>
      <c r="Z713" s="32" t="n">
        <v>0</v>
      </c>
      <c r="AA713" s="32" t="n">
        <v>1</v>
      </c>
      <c r="AB713" s="32" t="n">
        <v>0</v>
      </c>
      <c r="AC713" s="30" t="s">
        <v>814</v>
      </c>
      <c r="AD713" s="37" t="n">
        <f aca="false">B713-B712</f>
        <v>0.125</v>
      </c>
    </row>
    <row r="714" customFormat="false" ht="15" hidden="false" customHeight="false" outlineLevel="0" collapsed="false">
      <c r="A714" s="33" t="n">
        <v>711</v>
      </c>
      <c r="B714" s="34" t="n">
        <f aca="false">Summary!$B$5+IF(D714=1,0,IF(C714=1,Summary!$B$6,NA()))+(MATCH(1,E714:L714,0)-1)*Summary!$B$7+(MATCH(1,M714:T714,0)-1)*Summary!$B$8+(MATCH(1,U714:AB714,0)-1)*Summary!$B$9</f>
        <v>118.875</v>
      </c>
      <c r="C714" s="35" t="n">
        <v>1</v>
      </c>
      <c r="D714" s="35" t="n">
        <v>0</v>
      </c>
      <c r="E714" s="35" t="n">
        <v>0</v>
      </c>
      <c r="F714" s="35" t="n">
        <v>0</v>
      </c>
      <c r="G714" s="35" t="n">
        <v>0</v>
      </c>
      <c r="H714" s="35" t="n">
        <v>0</v>
      </c>
      <c r="I714" s="35" t="n">
        <v>0</v>
      </c>
      <c r="J714" s="35" t="n">
        <v>0</v>
      </c>
      <c r="K714" s="35" t="n">
        <v>0</v>
      </c>
      <c r="L714" s="35" t="n">
        <v>1</v>
      </c>
      <c r="M714" s="35" t="n">
        <v>1</v>
      </c>
      <c r="N714" s="35" t="n">
        <v>0</v>
      </c>
      <c r="O714" s="35" t="n">
        <v>0</v>
      </c>
      <c r="P714" s="35" t="n">
        <v>0</v>
      </c>
      <c r="Q714" s="35" t="n">
        <v>0</v>
      </c>
      <c r="R714" s="35" t="n">
        <v>0</v>
      </c>
      <c r="S714" s="35" t="n">
        <v>0</v>
      </c>
      <c r="T714" s="35" t="n">
        <v>0</v>
      </c>
      <c r="U714" s="35" t="n">
        <v>0</v>
      </c>
      <c r="V714" s="35" t="n">
        <v>0</v>
      </c>
      <c r="W714" s="35" t="n">
        <v>0</v>
      </c>
      <c r="X714" s="35" t="n">
        <v>0</v>
      </c>
      <c r="Y714" s="35" t="n">
        <v>0</v>
      </c>
      <c r="Z714" s="35" t="n">
        <v>0</v>
      </c>
      <c r="AA714" s="35" t="n">
        <v>0</v>
      </c>
      <c r="AB714" s="35" t="n">
        <v>1</v>
      </c>
      <c r="AC714" s="33" t="s">
        <v>815</v>
      </c>
      <c r="AD714" s="36" t="n">
        <f aca="false">B714-B713</f>
        <v>0.125</v>
      </c>
    </row>
    <row r="715" customFormat="false" ht="15" hidden="false" customHeight="false" outlineLevel="0" collapsed="false">
      <c r="A715" s="30" t="n">
        <v>712</v>
      </c>
      <c r="B715" s="31" t="n">
        <f aca="false">Summary!$B$5+IF(D715=1,0,IF(C715=1,Summary!$B$6,NA()))+(MATCH(1,E715:L715,0)-1)*Summary!$B$7+(MATCH(1,M715:T715,0)-1)*Summary!$B$8+(MATCH(1,U715:AB715,0)-1)*Summary!$B$9</f>
        <v>119</v>
      </c>
      <c r="C715" s="32" t="n">
        <v>1</v>
      </c>
      <c r="D715" s="32" t="n">
        <v>0</v>
      </c>
      <c r="E715" s="32" t="n">
        <v>0</v>
      </c>
      <c r="F715" s="32" t="n">
        <v>0</v>
      </c>
      <c r="G715" s="32" t="n">
        <v>0</v>
      </c>
      <c r="H715" s="32" t="n">
        <v>0</v>
      </c>
      <c r="I715" s="32" t="n">
        <v>0</v>
      </c>
      <c r="J715" s="32" t="n">
        <v>0</v>
      </c>
      <c r="K715" s="32" t="n">
        <v>0</v>
      </c>
      <c r="L715" s="32" t="n">
        <v>1</v>
      </c>
      <c r="M715" s="32" t="n">
        <v>0</v>
      </c>
      <c r="N715" s="32" t="n">
        <v>1</v>
      </c>
      <c r="O715" s="32" t="n">
        <v>0</v>
      </c>
      <c r="P715" s="32" t="n">
        <v>0</v>
      </c>
      <c r="Q715" s="32" t="n">
        <v>0</v>
      </c>
      <c r="R715" s="32" t="n">
        <v>0</v>
      </c>
      <c r="S715" s="32" t="n">
        <v>0</v>
      </c>
      <c r="T715" s="32" t="n">
        <v>0</v>
      </c>
      <c r="U715" s="32" t="n">
        <v>1</v>
      </c>
      <c r="V715" s="32" t="n">
        <v>0</v>
      </c>
      <c r="W715" s="32" t="n">
        <v>0</v>
      </c>
      <c r="X715" s="32" t="n">
        <v>0</v>
      </c>
      <c r="Y715" s="32" t="n">
        <v>0</v>
      </c>
      <c r="Z715" s="32" t="n">
        <v>0</v>
      </c>
      <c r="AA715" s="32" t="n">
        <v>0</v>
      </c>
      <c r="AB715" s="32" t="n">
        <v>0</v>
      </c>
      <c r="AC715" s="30" t="s">
        <v>816</v>
      </c>
      <c r="AD715" s="37" t="n">
        <f aca="false">B715-B714</f>
        <v>0.125</v>
      </c>
    </row>
    <row r="716" customFormat="false" ht="15" hidden="false" customHeight="false" outlineLevel="0" collapsed="false">
      <c r="A716" s="33" t="n">
        <v>713</v>
      </c>
      <c r="B716" s="34" t="n">
        <f aca="false">Summary!$B$5+IF(D716=1,0,IF(C716=1,Summary!$B$6,NA()))+(MATCH(1,E716:L716,0)-1)*Summary!$B$7+(MATCH(1,M716:T716,0)-1)*Summary!$B$8+(MATCH(1,U716:AB716,0)-1)*Summary!$B$9</f>
        <v>119.125</v>
      </c>
      <c r="C716" s="35" t="n">
        <v>1</v>
      </c>
      <c r="D716" s="35" t="n">
        <v>0</v>
      </c>
      <c r="E716" s="35" t="n">
        <v>0</v>
      </c>
      <c r="F716" s="35" t="n">
        <v>0</v>
      </c>
      <c r="G716" s="35" t="n">
        <v>0</v>
      </c>
      <c r="H716" s="35" t="n">
        <v>0</v>
      </c>
      <c r="I716" s="35" t="n">
        <v>0</v>
      </c>
      <c r="J716" s="35" t="n">
        <v>0</v>
      </c>
      <c r="K716" s="35" t="n">
        <v>0</v>
      </c>
      <c r="L716" s="35" t="n">
        <v>1</v>
      </c>
      <c r="M716" s="35" t="n">
        <v>0</v>
      </c>
      <c r="N716" s="35" t="n">
        <v>1</v>
      </c>
      <c r="O716" s="35" t="n">
        <v>0</v>
      </c>
      <c r="P716" s="35" t="n">
        <v>0</v>
      </c>
      <c r="Q716" s="35" t="n">
        <v>0</v>
      </c>
      <c r="R716" s="35" t="n">
        <v>0</v>
      </c>
      <c r="S716" s="35" t="n">
        <v>0</v>
      </c>
      <c r="T716" s="35" t="n">
        <v>0</v>
      </c>
      <c r="U716" s="35" t="n">
        <v>0</v>
      </c>
      <c r="V716" s="35" t="n">
        <v>1</v>
      </c>
      <c r="W716" s="35" t="n">
        <v>0</v>
      </c>
      <c r="X716" s="35" t="n">
        <v>0</v>
      </c>
      <c r="Y716" s="35" t="n">
        <v>0</v>
      </c>
      <c r="Z716" s="35" t="n">
        <v>0</v>
      </c>
      <c r="AA716" s="35" t="n">
        <v>0</v>
      </c>
      <c r="AB716" s="35" t="n">
        <v>0</v>
      </c>
      <c r="AC716" s="33" t="s">
        <v>817</v>
      </c>
      <c r="AD716" s="36" t="n">
        <f aca="false">B716-B715</f>
        <v>0.125</v>
      </c>
    </row>
    <row r="717" customFormat="false" ht="15" hidden="false" customHeight="false" outlineLevel="0" collapsed="false">
      <c r="A717" s="30" t="n">
        <v>714</v>
      </c>
      <c r="B717" s="31" t="n">
        <f aca="false">Summary!$B$5+IF(D717=1,0,IF(C717=1,Summary!$B$6,NA()))+(MATCH(1,E717:L717,0)-1)*Summary!$B$7+(MATCH(1,M717:T717,0)-1)*Summary!$B$8+(MATCH(1,U717:AB717,0)-1)*Summary!$B$9</f>
        <v>119.25</v>
      </c>
      <c r="C717" s="32" t="n">
        <v>1</v>
      </c>
      <c r="D717" s="32" t="n">
        <v>0</v>
      </c>
      <c r="E717" s="32" t="n">
        <v>0</v>
      </c>
      <c r="F717" s="32" t="n">
        <v>0</v>
      </c>
      <c r="G717" s="32" t="n">
        <v>0</v>
      </c>
      <c r="H717" s="32" t="n">
        <v>0</v>
      </c>
      <c r="I717" s="32" t="n">
        <v>0</v>
      </c>
      <c r="J717" s="32" t="n">
        <v>0</v>
      </c>
      <c r="K717" s="32" t="n">
        <v>0</v>
      </c>
      <c r="L717" s="32" t="n">
        <v>1</v>
      </c>
      <c r="M717" s="32" t="n">
        <v>0</v>
      </c>
      <c r="N717" s="32" t="n">
        <v>1</v>
      </c>
      <c r="O717" s="32" t="n">
        <v>0</v>
      </c>
      <c r="P717" s="32" t="n">
        <v>0</v>
      </c>
      <c r="Q717" s="32" t="n">
        <v>0</v>
      </c>
      <c r="R717" s="32" t="n">
        <v>0</v>
      </c>
      <c r="S717" s="32" t="n">
        <v>0</v>
      </c>
      <c r="T717" s="32" t="n">
        <v>0</v>
      </c>
      <c r="U717" s="32" t="n">
        <v>0</v>
      </c>
      <c r="V717" s="32" t="n">
        <v>0</v>
      </c>
      <c r="W717" s="32" t="n">
        <v>1</v>
      </c>
      <c r="X717" s="32" t="n">
        <v>0</v>
      </c>
      <c r="Y717" s="32" t="n">
        <v>0</v>
      </c>
      <c r="Z717" s="32" t="n">
        <v>0</v>
      </c>
      <c r="AA717" s="32" t="n">
        <v>0</v>
      </c>
      <c r="AB717" s="32" t="n">
        <v>0</v>
      </c>
      <c r="AC717" s="30" t="s">
        <v>818</v>
      </c>
      <c r="AD717" s="37" t="n">
        <f aca="false">B717-B716</f>
        <v>0.125</v>
      </c>
    </row>
    <row r="718" customFormat="false" ht="15" hidden="false" customHeight="false" outlineLevel="0" collapsed="false">
      <c r="A718" s="33" t="n">
        <v>715</v>
      </c>
      <c r="B718" s="34" t="n">
        <f aca="false">Summary!$B$5+IF(D718=1,0,IF(C718=1,Summary!$B$6,NA()))+(MATCH(1,E718:L718,0)-1)*Summary!$B$7+(MATCH(1,M718:T718,0)-1)*Summary!$B$8+(MATCH(1,U718:AB718,0)-1)*Summary!$B$9</f>
        <v>119.375</v>
      </c>
      <c r="C718" s="35" t="n">
        <v>1</v>
      </c>
      <c r="D718" s="35" t="n">
        <v>0</v>
      </c>
      <c r="E718" s="35" t="n">
        <v>0</v>
      </c>
      <c r="F718" s="35" t="n">
        <v>0</v>
      </c>
      <c r="G718" s="35" t="n">
        <v>0</v>
      </c>
      <c r="H718" s="35" t="n">
        <v>0</v>
      </c>
      <c r="I718" s="35" t="n">
        <v>0</v>
      </c>
      <c r="J718" s="35" t="n">
        <v>0</v>
      </c>
      <c r="K718" s="35" t="n">
        <v>0</v>
      </c>
      <c r="L718" s="35" t="n">
        <v>1</v>
      </c>
      <c r="M718" s="35" t="n">
        <v>0</v>
      </c>
      <c r="N718" s="35" t="n">
        <v>1</v>
      </c>
      <c r="O718" s="35" t="n">
        <v>0</v>
      </c>
      <c r="P718" s="35" t="n">
        <v>0</v>
      </c>
      <c r="Q718" s="35" t="n">
        <v>0</v>
      </c>
      <c r="R718" s="35" t="n">
        <v>0</v>
      </c>
      <c r="S718" s="35" t="n">
        <v>0</v>
      </c>
      <c r="T718" s="35" t="n">
        <v>0</v>
      </c>
      <c r="U718" s="35" t="n">
        <v>0</v>
      </c>
      <c r="V718" s="35" t="n">
        <v>0</v>
      </c>
      <c r="W718" s="35" t="n">
        <v>0</v>
      </c>
      <c r="X718" s="35" t="n">
        <v>1</v>
      </c>
      <c r="Y718" s="35" t="n">
        <v>0</v>
      </c>
      <c r="Z718" s="35" t="n">
        <v>0</v>
      </c>
      <c r="AA718" s="35" t="n">
        <v>0</v>
      </c>
      <c r="AB718" s="35" t="n">
        <v>0</v>
      </c>
      <c r="AC718" s="33" t="s">
        <v>819</v>
      </c>
      <c r="AD718" s="36" t="n">
        <f aca="false">B718-B717</f>
        <v>0.125</v>
      </c>
    </row>
    <row r="719" customFormat="false" ht="15" hidden="false" customHeight="false" outlineLevel="0" collapsed="false">
      <c r="A719" s="30" t="n">
        <v>716</v>
      </c>
      <c r="B719" s="31" t="n">
        <f aca="false">Summary!$B$5+IF(D719=1,0,IF(C719=1,Summary!$B$6,NA()))+(MATCH(1,E719:L719,0)-1)*Summary!$B$7+(MATCH(1,M719:T719,0)-1)*Summary!$B$8+(MATCH(1,U719:AB719,0)-1)*Summary!$B$9</f>
        <v>119.5</v>
      </c>
      <c r="C719" s="32" t="n">
        <v>1</v>
      </c>
      <c r="D719" s="32" t="n">
        <v>0</v>
      </c>
      <c r="E719" s="32" t="n">
        <v>0</v>
      </c>
      <c r="F719" s="32" t="n">
        <v>0</v>
      </c>
      <c r="G719" s="32" t="n">
        <v>0</v>
      </c>
      <c r="H719" s="32" t="n">
        <v>0</v>
      </c>
      <c r="I719" s="32" t="n">
        <v>0</v>
      </c>
      <c r="J719" s="32" t="n">
        <v>0</v>
      </c>
      <c r="K719" s="32" t="n">
        <v>0</v>
      </c>
      <c r="L719" s="32" t="n">
        <v>1</v>
      </c>
      <c r="M719" s="32" t="n">
        <v>0</v>
      </c>
      <c r="N719" s="32" t="n">
        <v>1</v>
      </c>
      <c r="O719" s="32" t="n">
        <v>0</v>
      </c>
      <c r="P719" s="32" t="n">
        <v>0</v>
      </c>
      <c r="Q719" s="32" t="n">
        <v>0</v>
      </c>
      <c r="R719" s="32" t="n">
        <v>0</v>
      </c>
      <c r="S719" s="32" t="n">
        <v>0</v>
      </c>
      <c r="T719" s="32" t="n">
        <v>0</v>
      </c>
      <c r="U719" s="32" t="n">
        <v>0</v>
      </c>
      <c r="V719" s="32" t="n">
        <v>0</v>
      </c>
      <c r="W719" s="32" t="n">
        <v>0</v>
      </c>
      <c r="X719" s="32" t="n">
        <v>0</v>
      </c>
      <c r="Y719" s="32" t="n">
        <v>1</v>
      </c>
      <c r="Z719" s="32" t="n">
        <v>0</v>
      </c>
      <c r="AA719" s="32" t="n">
        <v>0</v>
      </c>
      <c r="AB719" s="32" t="n">
        <v>0</v>
      </c>
      <c r="AC719" s="30" t="s">
        <v>820</v>
      </c>
      <c r="AD719" s="37" t="n">
        <f aca="false">B719-B718</f>
        <v>0.125</v>
      </c>
    </row>
    <row r="720" customFormat="false" ht="15" hidden="false" customHeight="false" outlineLevel="0" collapsed="false">
      <c r="A720" s="33" t="n">
        <v>717</v>
      </c>
      <c r="B720" s="34" t="n">
        <f aca="false">Summary!$B$5+IF(D720=1,0,IF(C720=1,Summary!$B$6,NA()))+(MATCH(1,E720:L720,0)-1)*Summary!$B$7+(MATCH(1,M720:T720,0)-1)*Summary!$B$8+(MATCH(1,U720:AB720,0)-1)*Summary!$B$9</f>
        <v>119.625</v>
      </c>
      <c r="C720" s="35" t="n">
        <v>1</v>
      </c>
      <c r="D720" s="35" t="n">
        <v>0</v>
      </c>
      <c r="E720" s="35" t="n">
        <v>0</v>
      </c>
      <c r="F720" s="35" t="n">
        <v>0</v>
      </c>
      <c r="G720" s="35" t="n">
        <v>0</v>
      </c>
      <c r="H720" s="35" t="n">
        <v>0</v>
      </c>
      <c r="I720" s="35" t="n">
        <v>0</v>
      </c>
      <c r="J720" s="35" t="n">
        <v>0</v>
      </c>
      <c r="K720" s="35" t="n">
        <v>0</v>
      </c>
      <c r="L720" s="35" t="n">
        <v>1</v>
      </c>
      <c r="M720" s="35" t="n">
        <v>0</v>
      </c>
      <c r="N720" s="35" t="n">
        <v>1</v>
      </c>
      <c r="O720" s="35" t="n">
        <v>0</v>
      </c>
      <c r="P720" s="35" t="n">
        <v>0</v>
      </c>
      <c r="Q720" s="35" t="n">
        <v>0</v>
      </c>
      <c r="R720" s="35" t="n">
        <v>0</v>
      </c>
      <c r="S720" s="35" t="n">
        <v>0</v>
      </c>
      <c r="T720" s="35" t="n">
        <v>0</v>
      </c>
      <c r="U720" s="35" t="n">
        <v>0</v>
      </c>
      <c r="V720" s="35" t="n">
        <v>0</v>
      </c>
      <c r="W720" s="35" t="n">
        <v>0</v>
      </c>
      <c r="X720" s="35" t="n">
        <v>0</v>
      </c>
      <c r="Y720" s="35" t="n">
        <v>0</v>
      </c>
      <c r="Z720" s="35" t="n">
        <v>1</v>
      </c>
      <c r="AA720" s="35" t="n">
        <v>0</v>
      </c>
      <c r="AB720" s="35" t="n">
        <v>0</v>
      </c>
      <c r="AC720" s="33" t="s">
        <v>821</v>
      </c>
      <c r="AD720" s="36" t="n">
        <f aca="false">B720-B719</f>
        <v>0.125</v>
      </c>
    </row>
    <row r="721" customFormat="false" ht="15" hidden="false" customHeight="false" outlineLevel="0" collapsed="false">
      <c r="A721" s="30" t="n">
        <v>718</v>
      </c>
      <c r="B721" s="31" t="n">
        <f aca="false">Summary!$B$5+IF(D721=1,0,IF(C721=1,Summary!$B$6,NA()))+(MATCH(1,E721:L721,0)-1)*Summary!$B$7+(MATCH(1,M721:T721,0)-1)*Summary!$B$8+(MATCH(1,U721:AB721,0)-1)*Summary!$B$9</f>
        <v>119.75</v>
      </c>
      <c r="C721" s="32" t="n">
        <v>1</v>
      </c>
      <c r="D721" s="32" t="n">
        <v>0</v>
      </c>
      <c r="E721" s="32" t="n">
        <v>0</v>
      </c>
      <c r="F721" s="32" t="n">
        <v>0</v>
      </c>
      <c r="G721" s="32" t="n">
        <v>0</v>
      </c>
      <c r="H721" s="32" t="n">
        <v>0</v>
      </c>
      <c r="I721" s="32" t="n">
        <v>0</v>
      </c>
      <c r="J721" s="32" t="n">
        <v>0</v>
      </c>
      <c r="K721" s="32" t="n">
        <v>0</v>
      </c>
      <c r="L721" s="32" t="n">
        <v>1</v>
      </c>
      <c r="M721" s="32" t="n">
        <v>0</v>
      </c>
      <c r="N721" s="32" t="n">
        <v>1</v>
      </c>
      <c r="O721" s="32" t="n">
        <v>0</v>
      </c>
      <c r="P721" s="32" t="n">
        <v>0</v>
      </c>
      <c r="Q721" s="32" t="n">
        <v>0</v>
      </c>
      <c r="R721" s="32" t="n">
        <v>0</v>
      </c>
      <c r="S721" s="32" t="n">
        <v>0</v>
      </c>
      <c r="T721" s="32" t="n">
        <v>0</v>
      </c>
      <c r="U721" s="32" t="n">
        <v>0</v>
      </c>
      <c r="V721" s="32" t="n">
        <v>0</v>
      </c>
      <c r="W721" s="32" t="n">
        <v>0</v>
      </c>
      <c r="X721" s="32" t="n">
        <v>0</v>
      </c>
      <c r="Y721" s="32" t="n">
        <v>0</v>
      </c>
      <c r="Z721" s="32" t="n">
        <v>0</v>
      </c>
      <c r="AA721" s="32" t="n">
        <v>1</v>
      </c>
      <c r="AB721" s="32" t="n">
        <v>0</v>
      </c>
      <c r="AC721" s="30" t="s">
        <v>822</v>
      </c>
      <c r="AD721" s="37" t="n">
        <f aca="false">B721-B720</f>
        <v>0.125</v>
      </c>
    </row>
    <row r="722" customFormat="false" ht="15" hidden="false" customHeight="false" outlineLevel="0" collapsed="false">
      <c r="A722" s="33" t="n">
        <v>719</v>
      </c>
      <c r="B722" s="34" t="n">
        <f aca="false">Summary!$B$5+IF(D722=1,0,IF(C722=1,Summary!$B$6,NA()))+(MATCH(1,E722:L722,0)-1)*Summary!$B$7+(MATCH(1,M722:T722,0)-1)*Summary!$B$8+(MATCH(1,U722:AB722,0)-1)*Summary!$B$9</f>
        <v>119.875</v>
      </c>
      <c r="C722" s="35" t="n">
        <v>1</v>
      </c>
      <c r="D722" s="35" t="n">
        <v>0</v>
      </c>
      <c r="E722" s="35" t="n">
        <v>0</v>
      </c>
      <c r="F722" s="35" t="n">
        <v>0</v>
      </c>
      <c r="G722" s="35" t="n">
        <v>0</v>
      </c>
      <c r="H722" s="35" t="n">
        <v>0</v>
      </c>
      <c r="I722" s="35" t="n">
        <v>0</v>
      </c>
      <c r="J722" s="35" t="n">
        <v>0</v>
      </c>
      <c r="K722" s="35" t="n">
        <v>0</v>
      </c>
      <c r="L722" s="35" t="n">
        <v>1</v>
      </c>
      <c r="M722" s="35" t="n">
        <v>0</v>
      </c>
      <c r="N722" s="35" t="n">
        <v>1</v>
      </c>
      <c r="O722" s="35" t="n">
        <v>0</v>
      </c>
      <c r="P722" s="35" t="n">
        <v>0</v>
      </c>
      <c r="Q722" s="35" t="n">
        <v>0</v>
      </c>
      <c r="R722" s="35" t="n">
        <v>0</v>
      </c>
      <c r="S722" s="35" t="n">
        <v>0</v>
      </c>
      <c r="T722" s="35" t="n">
        <v>0</v>
      </c>
      <c r="U722" s="35" t="n">
        <v>0</v>
      </c>
      <c r="V722" s="35" t="n">
        <v>0</v>
      </c>
      <c r="W722" s="35" t="n">
        <v>0</v>
      </c>
      <c r="X722" s="35" t="n">
        <v>0</v>
      </c>
      <c r="Y722" s="35" t="n">
        <v>0</v>
      </c>
      <c r="Z722" s="35" t="n">
        <v>0</v>
      </c>
      <c r="AA722" s="35" t="n">
        <v>0</v>
      </c>
      <c r="AB722" s="35" t="n">
        <v>1</v>
      </c>
      <c r="AC722" s="33" t="s">
        <v>823</v>
      </c>
      <c r="AD722" s="36" t="n">
        <f aca="false">B722-B721</f>
        <v>0.125</v>
      </c>
    </row>
    <row r="723" customFormat="false" ht="15" hidden="false" customHeight="false" outlineLevel="0" collapsed="false">
      <c r="A723" s="30" t="n">
        <v>720</v>
      </c>
      <c r="B723" s="31" t="n">
        <f aca="false">Summary!$B$5+IF(D723=1,0,IF(C723=1,Summary!$B$6,NA()))+(MATCH(1,E723:L723,0)-1)*Summary!$B$7+(MATCH(1,M723:T723,0)-1)*Summary!$B$8+(MATCH(1,U723:AB723,0)-1)*Summary!$B$9</f>
        <v>120</v>
      </c>
      <c r="C723" s="32" t="n">
        <v>1</v>
      </c>
      <c r="D723" s="32" t="n">
        <v>0</v>
      </c>
      <c r="E723" s="32" t="n">
        <v>0</v>
      </c>
      <c r="F723" s="32" t="n">
        <v>0</v>
      </c>
      <c r="G723" s="32" t="n">
        <v>0</v>
      </c>
      <c r="H723" s="32" t="n">
        <v>0</v>
      </c>
      <c r="I723" s="32" t="n">
        <v>0</v>
      </c>
      <c r="J723" s="32" t="n">
        <v>0</v>
      </c>
      <c r="K723" s="32" t="n">
        <v>0</v>
      </c>
      <c r="L723" s="32" t="n">
        <v>1</v>
      </c>
      <c r="M723" s="32" t="n">
        <v>0</v>
      </c>
      <c r="N723" s="32" t="n">
        <v>0</v>
      </c>
      <c r="O723" s="32" t="n">
        <v>1</v>
      </c>
      <c r="P723" s="32" t="n">
        <v>0</v>
      </c>
      <c r="Q723" s="32" t="n">
        <v>0</v>
      </c>
      <c r="R723" s="32" t="n">
        <v>0</v>
      </c>
      <c r="S723" s="32" t="n">
        <v>0</v>
      </c>
      <c r="T723" s="32" t="n">
        <v>0</v>
      </c>
      <c r="U723" s="32" t="n">
        <v>1</v>
      </c>
      <c r="V723" s="32" t="n">
        <v>0</v>
      </c>
      <c r="W723" s="32" t="n">
        <v>0</v>
      </c>
      <c r="X723" s="32" t="n">
        <v>0</v>
      </c>
      <c r="Y723" s="32" t="n">
        <v>0</v>
      </c>
      <c r="Z723" s="32" t="n">
        <v>0</v>
      </c>
      <c r="AA723" s="32" t="n">
        <v>0</v>
      </c>
      <c r="AB723" s="32" t="n">
        <v>0</v>
      </c>
      <c r="AC723" s="30" t="s">
        <v>824</v>
      </c>
      <c r="AD723" s="37" t="n">
        <f aca="false">B723-B722</f>
        <v>0.125</v>
      </c>
    </row>
    <row r="724" customFormat="false" ht="15" hidden="false" customHeight="false" outlineLevel="0" collapsed="false">
      <c r="A724" s="33" t="n">
        <v>721</v>
      </c>
      <c r="B724" s="34" t="n">
        <f aca="false">Summary!$B$5+IF(D724=1,0,IF(C724=1,Summary!$B$6,NA()))+(MATCH(1,E724:L724,0)-1)*Summary!$B$7+(MATCH(1,M724:T724,0)-1)*Summary!$B$8+(MATCH(1,U724:AB724,0)-1)*Summary!$B$9</f>
        <v>120.125</v>
      </c>
      <c r="C724" s="35" t="n">
        <v>1</v>
      </c>
      <c r="D724" s="35" t="n">
        <v>0</v>
      </c>
      <c r="E724" s="35" t="n">
        <v>0</v>
      </c>
      <c r="F724" s="35" t="n">
        <v>0</v>
      </c>
      <c r="G724" s="35" t="n">
        <v>0</v>
      </c>
      <c r="H724" s="35" t="n">
        <v>0</v>
      </c>
      <c r="I724" s="35" t="n">
        <v>0</v>
      </c>
      <c r="J724" s="35" t="n">
        <v>0</v>
      </c>
      <c r="K724" s="35" t="n">
        <v>0</v>
      </c>
      <c r="L724" s="35" t="n">
        <v>1</v>
      </c>
      <c r="M724" s="35" t="n">
        <v>0</v>
      </c>
      <c r="N724" s="35" t="n">
        <v>0</v>
      </c>
      <c r="O724" s="35" t="n">
        <v>1</v>
      </c>
      <c r="P724" s="35" t="n">
        <v>0</v>
      </c>
      <c r="Q724" s="35" t="n">
        <v>0</v>
      </c>
      <c r="R724" s="35" t="n">
        <v>0</v>
      </c>
      <c r="S724" s="35" t="n">
        <v>0</v>
      </c>
      <c r="T724" s="35" t="n">
        <v>0</v>
      </c>
      <c r="U724" s="35" t="n">
        <v>0</v>
      </c>
      <c r="V724" s="35" t="n">
        <v>1</v>
      </c>
      <c r="W724" s="35" t="n">
        <v>0</v>
      </c>
      <c r="X724" s="35" t="n">
        <v>0</v>
      </c>
      <c r="Y724" s="35" t="n">
        <v>0</v>
      </c>
      <c r="Z724" s="35" t="n">
        <v>0</v>
      </c>
      <c r="AA724" s="35" t="n">
        <v>0</v>
      </c>
      <c r="AB724" s="35" t="n">
        <v>0</v>
      </c>
      <c r="AC724" s="33" t="s">
        <v>825</v>
      </c>
      <c r="AD724" s="36" t="n">
        <f aca="false">B724-B723</f>
        <v>0.125</v>
      </c>
    </row>
    <row r="725" customFormat="false" ht="15" hidden="false" customHeight="false" outlineLevel="0" collapsed="false">
      <c r="A725" s="30" t="n">
        <v>722</v>
      </c>
      <c r="B725" s="31" t="n">
        <f aca="false">Summary!$B$5+IF(D725=1,0,IF(C725=1,Summary!$B$6,NA()))+(MATCH(1,E725:L725,0)-1)*Summary!$B$7+(MATCH(1,M725:T725,0)-1)*Summary!$B$8+(MATCH(1,U725:AB725,0)-1)*Summary!$B$9</f>
        <v>120.25</v>
      </c>
      <c r="C725" s="32" t="n">
        <v>1</v>
      </c>
      <c r="D725" s="32" t="n">
        <v>0</v>
      </c>
      <c r="E725" s="32" t="n">
        <v>0</v>
      </c>
      <c r="F725" s="32" t="n">
        <v>0</v>
      </c>
      <c r="G725" s="32" t="n">
        <v>0</v>
      </c>
      <c r="H725" s="32" t="n">
        <v>0</v>
      </c>
      <c r="I725" s="32" t="n">
        <v>0</v>
      </c>
      <c r="J725" s="32" t="n">
        <v>0</v>
      </c>
      <c r="K725" s="32" t="n">
        <v>0</v>
      </c>
      <c r="L725" s="32" t="n">
        <v>1</v>
      </c>
      <c r="M725" s="32" t="n">
        <v>0</v>
      </c>
      <c r="N725" s="32" t="n">
        <v>0</v>
      </c>
      <c r="O725" s="32" t="n">
        <v>1</v>
      </c>
      <c r="P725" s="32" t="n">
        <v>0</v>
      </c>
      <c r="Q725" s="32" t="n">
        <v>0</v>
      </c>
      <c r="R725" s="32" t="n">
        <v>0</v>
      </c>
      <c r="S725" s="32" t="n">
        <v>0</v>
      </c>
      <c r="T725" s="32" t="n">
        <v>0</v>
      </c>
      <c r="U725" s="32" t="n">
        <v>0</v>
      </c>
      <c r="V725" s="32" t="n">
        <v>0</v>
      </c>
      <c r="W725" s="32" t="n">
        <v>1</v>
      </c>
      <c r="X725" s="32" t="n">
        <v>0</v>
      </c>
      <c r="Y725" s="32" t="n">
        <v>0</v>
      </c>
      <c r="Z725" s="32" t="n">
        <v>0</v>
      </c>
      <c r="AA725" s="32" t="n">
        <v>0</v>
      </c>
      <c r="AB725" s="32" t="n">
        <v>0</v>
      </c>
      <c r="AC725" s="30" t="s">
        <v>826</v>
      </c>
      <c r="AD725" s="37" t="n">
        <f aca="false">B725-B724</f>
        <v>0.125</v>
      </c>
    </row>
    <row r="726" customFormat="false" ht="15" hidden="false" customHeight="false" outlineLevel="0" collapsed="false">
      <c r="A726" s="33" t="n">
        <v>723</v>
      </c>
      <c r="B726" s="34" t="n">
        <f aca="false">Summary!$B$5+IF(D726=1,0,IF(C726=1,Summary!$B$6,NA()))+(MATCH(1,E726:L726,0)-1)*Summary!$B$7+(MATCH(1,M726:T726,0)-1)*Summary!$B$8+(MATCH(1,U726:AB726,0)-1)*Summary!$B$9</f>
        <v>120.375</v>
      </c>
      <c r="C726" s="35" t="n">
        <v>1</v>
      </c>
      <c r="D726" s="35" t="n">
        <v>0</v>
      </c>
      <c r="E726" s="35" t="n">
        <v>0</v>
      </c>
      <c r="F726" s="35" t="n">
        <v>0</v>
      </c>
      <c r="G726" s="35" t="n">
        <v>0</v>
      </c>
      <c r="H726" s="35" t="n">
        <v>0</v>
      </c>
      <c r="I726" s="35" t="n">
        <v>0</v>
      </c>
      <c r="J726" s="35" t="n">
        <v>0</v>
      </c>
      <c r="K726" s="35" t="n">
        <v>0</v>
      </c>
      <c r="L726" s="35" t="n">
        <v>1</v>
      </c>
      <c r="M726" s="35" t="n">
        <v>0</v>
      </c>
      <c r="N726" s="35" t="n">
        <v>0</v>
      </c>
      <c r="O726" s="35" t="n">
        <v>1</v>
      </c>
      <c r="P726" s="35" t="n">
        <v>0</v>
      </c>
      <c r="Q726" s="35" t="n">
        <v>0</v>
      </c>
      <c r="R726" s="35" t="n">
        <v>0</v>
      </c>
      <c r="S726" s="35" t="n">
        <v>0</v>
      </c>
      <c r="T726" s="35" t="n">
        <v>0</v>
      </c>
      <c r="U726" s="35" t="n">
        <v>0</v>
      </c>
      <c r="V726" s="35" t="n">
        <v>0</v>
      </c>
      <c r="W726" s="35" t="n">
        <v>0</v>
      </c>
      <c r="X726" s="35" t="n">
        <v>1</v>
      </c>
      <c r="Y726" s="35" t="n">
        <v>0</v>
      </c>
      <c r="Z726" s="35" t="n">
        <v>0</v>
      </c>
      <c r="AA726" s="35" t="n">
        <v>0</v>
      </c>
      <c r="AB726" s="35" t="n">
        <v>0</v>
      </c>
      <c r="AC726" s="33" t="s">
        <v>827</v>
      </c>
      <c r="AD726" s="36" t="n">
        <f aca="false">B726-B725</f>
        <v>0.125</v>
      </c>
    </row>
    <row r="727" customFormat="false" ht="15" hidden="false" customHeight="false" outlineLevel="0" collapsed="false">
      <c r="A727" s="30" t="n">
        <v>724</v>
      </c>
      <c r="B727" s="31" t="n">
        <f aca="false">Summary!$B$5+IF(D727=1,0,IF(C727=1,Summary!$B$6,NA()))+(MATCH(1,E727:L727,0)-1)*Summary!$B$7+(MATCH(1,M727:T727,0)-1)*Summary!$B$8+(MATCH(1,U727:AB727,0)-1)*Summary!$B$9</f>
        <v>120.5</v>
      </c>
      <c r="C727" s="32" t="n">
        <v>1</v>
      </c>
      <c r="D727" s="32" t="n">
        <v>0</v>
      </c>
      <c r="E727" s="32" t="n">
        <v>0</v>
      </c>
      <c r="F727" s="32" t="n">
        <v>0</v>
      </c>
      <c r="G727" s="32" t="n">
        <v>0</v>
      </c>
      <c r="H727" s="32" t="n">
        <v>0</v>
      </c>
      <c r="I727" s="32" t="n">
        <v>0</v>
      </c>
      <c r="J727" s="32" t="n">
        <v>0</v>
      </c>
      <c r="K727" s="32" t="n">
        <v>0</v>
      </c>
      <c r="L727" s="32" t="n">
        <v>1</v>
      </c>
      <c r="M727" s="32" t="n">
        <v>0</v>
      </c>
      <c r="N727" s="32" t="n">
        <v>0</v>
      </c>
      <c r="O727" s="32" t="n">
        <v>1</v>
      </c>
      <c r="P727" s="32" t="n">
        <v>0</v>
      </c>
      <c r="Q727" s="32" t="n">
        <v>0</v>
      </c>
      <c r="R727" s="32" t="n">
        <v>0</v>
      </c>
      <c r="S727" s="32" t="n">
        <v>0</v>
      </c>
      <c r="T727" s="32" t="n">
        <v>0</v>
      </c>
      <c r="U727" s="32" t="n">
        <v>0</v>
      </c>
      <c r="V727" s="32" t="n">
        <v>0</v>
      </c>
      <c r="W727" s="32" t="n">
        <v>0</v>
      </c>
      <c r="X727" s="32" t="n">
        <v>0</v>
      </c>
      <c r="Y727" s="32" t="n">
        <v>1</v>
      </c>
      <c r="Z727" s="32" t="n">
        <v>0</v>
      </c>
      <c r="AA727" s="32" t="n">
        <v>0</v>
      </c>
      <c r="AB727" s="32" t="n">
        <v>0</v>
      </c>
      <c r="AC727" s="30" t="s">
        <v>828</v>
      </c>
      <c r="AD727" s="37" t="n">
        <f aca="false">B727-B726</f>
        <v>0.125</v>
      </c>
    </row>
    <row r="728" customFormat="false" ht="15" hidden="false" customHeight="false" outlineLevel="0" collapsed="false">
      <c r="A728" s="33" t="n">
        <v>725</v>
      </c>
      <c r="B728" s="34" t="n">
        <f aca="false">Summary!$B$5+IF(D728=1,0,IF(C728=1,Summary!$B$6,NA()))+(MATCH(1,E728:L728,0)-1)*Summary!$B$7+(MATCH(1,M728:T728,0)-1)*Summary!$B$8+(MATCH(1,U728:AB728,0)-1)*Summary!$B$9</f>
        <v>120.625</v>
      </c>
      <c r="C728" s="35" t="n">
        <v>1</v>
      </c>
      <c r="D728" s="35" t="n">
        <v>0</v>
      </c>
      <c r="E728" s="35" t="n">
        <v>0</v>
      </c>
      <c r="F728" s="35" t="n">
        <v>0</v>
      </c>
      <c r="G728" s="35" t="n">
        <v>0</v>
      </c>
      <c r="H728" s="35" t="n">
        <v>0</v>
      </c>
      <c r="I728" s="35" t="n">
        <v>0</v>
      </c>
      <c r="J728" s="35" t="n">
        <v>0</v>
      </c>
      <c r="K728" s="35" t="n">
        <v>0</v>
      </c>
      <c r="L728" s="35" t="n">
        <v>1</v>
      </c>
      <c r="M728" s="35" t="n">
        <v>0</v>
      </c>
      <c r="N728" s="35" t="n">
        <v>0</v>
      </c>
      <c r="O728" s="35" t="n">
        <v>1</v>
      </c>
      <c r="P728" s="35" t="n">
        <v>0</v>
      </c>
      <c r="Q728" s="35" t="n">
        <v>0</v>
      </c>
      <c r="R728" s="35" t="n">
        <v>0</v>
      </c>
      <c r="S728" s="35" t="n">
        <v>0</v>
      </c>
      <c r="T728" s="35" t="n">
        <v>0</v>
      </c>
      <c r="U728" s="35" t="n">
        <v>0</v>
      </c>
      <c r="V728" s="35" t="n">
        <v>0</v>
      </c>
      <c r="W728" s="35" t="n">
        <v>0</v>
      </c>
      <c r="X728" s="35" t="n">
        <v>0</v>
      </c>
      <c r="Y728" s="35" t="n">
        <v>0</v>
      </c>
      <c r="Z728" s="35" t="n">
        <v>1</v>
      </c>
      <c r="AA728" s="35" t="n">
        <v>0</v>
      </c>
      <c r="AB728" s="35" t="n">
        <v>0</v>
      </c>
      <c r="AC728" s="33" t="s">
        <v>829</v>
      </c>
      <c r="AD728" s="36" t="n">
        <f aca="false">B728-B727</f>
        <v>0.125</v>
      </c>
    </row>
    <row r="729" customFormat="false" ht="15" hidden="false" customHeight="false" outlineLevel="0" collapsed="false">
      <c r="A729" s="30" t="n">
        <v>726</v>
      </c>
      <c r="B729" s="31" t="n">
        <f aca="false">Summary!$B$5+IF(D729=1,0,IF(C729=1,Summary!$B$6,NA()))+(MATCH(1,E729:L729,0)-1)*Summary!$B$7+(MATCH(1,M729:T729,0)-1)*Summary!$B$8+(MATCH(1,U729:AB729,0)-1)*Summary!$B$9</f>
        <v>120.75</v>
      </c>
      <c r="C729" s="32" t="n">
        <v>1</v>
      </c>
      <c r="D729" s="32" t="n">
        <v>0</v>
      </c>
      <c r="E729" s="32" t="n">
        <v>0</v>
      </c>
      <c r="F729" s="32" t="n">
        <v>0</v>
      </c>
      <c r="G729" s="32" t="n">
        <v>0</v>
      </c>
      <c r="H729" s="32" t="n">
        <v>0</v>
      </c>
      <c r="I729" s="32" t="n">
        <v>0</v>
      </c>
      <c r="J729" s="32" t="n">
        <v>0</v>
      </c>
      <c r="K729" s="32" t="n">
        <v>0</v>
      </c>
      <c r="L729" s="32" t="n">
        <v>1</v>
      </c>
      <c r="M729" s="32" t="n">
        <v>0</v>
      </c>
      <c r="N729" s="32" t="n">
        <v>0</v>
      </c>
      <c r="O729" s="32" t="n">
        <v>1</v>
      </c>
      <c r="P729" s="32" t="n">
        <v>0</v>
      </c>
      <c r="Q729" s="32" t="n">
        <v>0</v>
      </c>
      <c r="R729" s="32" t="n">
        <v>0</v>
      </c>
      <c r="S729" s="32" t="n">
        <v>0</v>
      </c>
      <c r="T729" s="32" t="n">
        <v>0</v>
      </c>
      <c r="U729" s="32" t="n">
        <v>0</v>
      </c>
      <c r="V729" s="32" t="n">
        <v>0</v>
      </c>
      <c r="W729" s="32" t="n">
        <v>0</v>
      </c>
      <c r="X729" s="32" t="n">
        <v>0</v>
      </c>
      <c r="Y729" s="32" t="n">
        <v>0</v>
      </c>
      <c r="Z729" s="32" t="n">
        <v>0</v>
      </c>
      <c r="AA729" s="32" t="n">
        <v>1</v>
      </c>
      <c r="AB729" s="32" t="n">
        <v>0</v>
      </c>
      <c r="AC729" s="30" t="s">
        <v>830</v>
      </c>
      <c r="AD729" s="37" t="n">
        <f aca="false">B729-B728</f>
        <v>0.125</v>
      </c>
    </row>
    <row r="730" customFormat="false" ht="15" hidden="false" customHeight="false" outlineLevel="0" collapsed="false">
      <c r="A730" s="33" t="n">
        <v>727</v>
      </c>
      <c r="B730" s="34" t="n">
        <f aca="false">Summary!$B$5+IF(D730=1,0,IF(C730=1,Summary!$B$6,NA()))+(MATCH(1,E730:L730,0)-1)*Summary!$B$7+(MATCH(1,M730:T730,0)-1)*Summary!$B$8+(MATCH(1,U730:AB730,0)-1)*Summary!$B$9</f>
        <v>120.875</v>
      </c>
      <c r="C730" s="35" t="n">
        <v>1</v>
      </c>
      <c r="D730" s="35" t="n">
        <v>0</v>
      </c>
      <c r="E730" s="35" t="n">
        <v>0</v>
      </c>
      <c r="F730" s="35" t="n">
        <v>0</v>
      </c>
      <c r="G730" s="35" t="n">
        <v>0</v>
      </c>
      <c r="H730" s="35" t="n">
        <v>0</v>
      </c>
      <c r="I730" s="35" t="n">
        <v>0</v>
      </c>
      <c r="J730" s="35" t="n">
        <v>0</v>
      </c>
      <c r="K730" s="35" t="n">
        <v>0</v>
      </c>
      <c r="L730" s="35" t="n">
        <v>1</v>
      </c>
      <c r="M730" s="35" t="n">
        <v>0</v>
      </c>
      <c r="N730" s="35" t="n">
        <v>0</v>
      </c>
      <c r="O730" s="35" t="n">
        <v>1</v>
      </c>
      <c r="P730" s="35" t="n">
        <v>0</v>
      </c>
      <c r="Q730" s="35" t="n">
        <v>0</v>
      </c>
      <c r="R730" s="35" t="n">
        <v>0</v>
      </c>
      <c r="S730" s="35" t="n">
        <v>0</v>
      </c>
      <c r="T730" s="35" t="n">
        <v>0</v>
      </c>
      <c r="U730" s="35" t="n">
        <v>0</v>
      </c>
      <c r="V730" s="35" t="n">
        <v>0</v>
      </c>
      <c r="W730" s="35" t="n">
        <v>0</v>
      </c>
      <c r="X730" s="35" t="n">
        <v>0</v>
      </c>
      <c r="Y730" s="35" t="n">
        <v>0</v>
      </c>
      <c r="Z730" s="35" t="n">
        <v>0</v>
      </c>
      <c r="AA730" s="35" t="n">
        <v>0</v>
      </c>
      <c r="AB730" s="35" t="n">
        <v>1</v>
      </c>
      <c r="AC730" s="33" t="s">
        <v>831</v>
      </c>
      <c r="AD730" s="36" t="n">
        <f aca="false">B730-B729</f>
        <v>0.125</v>
      </c>
    </row>
    <row r="731" customFormat="false" ht="15" hidden="false" customHeight="false" outlineLevel="0" collapsed="false">
      <c r="A731" s="30" t="n">
        <v>728</v>
      </c>
      <c r="B731" s="31" t="n">
        <f aca="false">Summary!$B$5+IF(D731=1,0,IF(C731=1,Summary!$B$6,NA()))+(MATCH(1,E731:L731,0)-1)*Summary!$B$7+(MATCH(1,M731:T731,0)-1)*Summary!$B$8+(MATCH(1,U731:AB731,0)-1)*Summary!$B$9</f>
        <v>121</v>
      </c>
      <c r="C731" s="32" t="n">
        <v>1</v>
      </c>
      <c r="D731" s="32" t="n">
        <v>0</v>
      </c>
      <c r="E731" s="32" t="n">
        <v>0</v>
      </c>
      <c r="F731" s="32" t="n">
        <v>0</v>
      </c>
      <c r="G731" s="32" t="n">
        <v>0</v>
      </c>
      <c r="H731" s="32" t="n">
        <v>0</v>
      </c>
      <c r="I731" s="32" t="n">
        <v>0</v>
      </c>
      <c r="J731" s="32" t="n">
        <v>0</v>
      </c>
      <c r="K731" s="32" t="n">
        <v>0</v>
      </c>
      <c r="L731" s="32" t="n">
        <v>1</v>
      </c>
      <c r="M731" s="32" t="n">
        <v>0</v>
      </c>
      <c r="N731" s="32" t="n">
        <v>0</v>
      </c>
      <c r="O731" s="32" t="n">
        <v>0</v>
      </c>
      <c r="P731" s="32" t="n">
        <v>1</v>
      </c>
      <c r="Q731" s="32" t="n">
        <v>0</v>
      </c>
      <c r="R731" s="32" t="n">
        <v>0</v>
      </c>
      <c r="S731" s="32" t="n">
        <v>0</v>
      </c>
      <c r="T731" s="32" t="n">
        <v>0</v>
      </c>
      <c r="U731" s="32" t="n">
        <v>1</v>
      </c>
      <c r="V731" s="32" t="n">
        <v>0</v>
      </c>
      <c r="W731" s="32" t="n">
        <v>0</v>
      </c>
      <c r="X731" s="32" t="n">
        <v>0</v>
      </c>
      <c r="Y731" s="32" t="n">
        <v>0</v>
      </c>
      <c r="Z731" s="32" t="n">
        <v>0</v>
      </c>
      <c r="AA731" s="32" t="n">
        <v>0</v>
      </c>
      <c r="AB731" s="32" t="n">
        <v>0</v>
      </c>
      <c r="AC731" s="30" t="s">
        <v>832</v>
      </c>
      <c r="AD731" s="37" t="n">
        <f aca="false">B731-B730</f>
        <v>0.125</v>
      </c>
    </row>
    <row r="732" customFormat="false" ht="15" hidden="false" customHeight="false" outlineLevel="0" collapsed="false">
      <c r="A732" s="33" t="n">
        <v>729</v>
      </c>
      <c r="B732" s="34" t="n">
        <f aca="false">Summary!$B$5+IF(D732=1,0,IF(C732=1,Summary!$B$6,NA()))+(MATCH(1,E732:L732,0)-1)*Summary!$B$7+(MATCH(1,M732:T732,0)-1)*Summary!$B$8+(MATCH(1,U732:AB732,0)-1)*Summary!$B$9</f>
        <v>121.125</v>
      </c>
      <c r="C732" s="35" t="n">
        <v>1</v>
      </c>
      <c r="D732" s="35" t="n">
        <v>0</v>
      </c>
      <c r="E732" s="35" t="n">
        <v>0</v>
      </c>
      <c r="F732" s="35" t="n">
        <v>0</v>
      </c>
      <c r="G732" s="35" t="n">
        <v>0</v>
      </c>
      <c r="H732" s="35" t="n">
        <v>0</v>
      </c>
      <c r="I732" s="35" t="n">
        <v>0</v>
      </c>
      <c r="J732" s="35" t="n">
        <v>0</v>
      </c>
      <c r="K732" s="35" t="n">
        <v>0</v>
      </c>
      <c r="L732" s="35" t="n">
        <v>1</v>
      </c>
      <c r="M732" s="35" t="n">
        <v>0</v>
      </c>
      <c r="N732" s="35" t="n">
        <v>0</v>
      </c>
      <c r="O732" s="35" t="n">
        <v>0</v>
      </c>
      <c r="P732" s="35" t="n">
        <v>1</v>
      </c>
      <c r="Q732" s="35" t="n">
        <v>0</v>
      </c>
      <c r="R732" s="35" t="n">
        <v>0</v>
      </c>
      <c r="S732" s="35" t="n">
        <v>0</v>
      </c>
      <c r="T732" s="35" t="n">
        <v>0</v>
      </c>
      <c r="U732" s="35" t="n">
        <v>0</v>
      </c>
      <c r="V732" s="35" t="n">
        <v>1</v>
      </c>
      <c r="W732" s="35" t="n">
        <v>0</v>
      </c>
      <c r="X732" s="35" t="n">
        <v>0</v>
      </c>
      <c r="Y732" s="35" t="n">
        <v>0</v>
      </c>
      <c r="Z732" s="35" t="n">
        <v>0</v>
      </c>
      <c r="AA732" s="35" t="n">
        <v>0</v>
      </c>
      <c r="AB732" s="35" t="n">
        <v>0</v>
      </c>
      <c r="AC732" s="33" t="s">
        <v>833</v>
      </c>
      <c r="AD732" s="36" t="n">
        <f aca="false">B732-B731</f>
        <v>0.125</v>
      </c>
    </row>
    <row r="733" customFormat="false" ht="15" hidden="false" customHeight="false" outlineLevel="0" collapsed="false">
      <c r="A733" s="30" t="n">
        <v>730</v>
      </c>
      <c r="B733" s="31" t="n">
        <f aca="false">Summary!$B$5+IF(D733=1,0,IF(C733=1,Summary!$B$6,NA()))+(MATCH(1,E733:L733,0)-1)*Summary!$B$7+(MATCH(1,M733:T733,0)-1)*Summary!$B$8+(MATCH(1,U733:AB733,0)-1)*Summary!$B$9</f>
        <v>121.25</v>
      </c>
      <c r="C733" s="32" t="n">
        <v>1</v>
      </c>
      <c r="D733" s="32" t="n">
        <v>0</v>
      </c>
      <c r="E733" s="32" t="n">
        <v>0</v>
      </c>
      <c r="F733" s="32" t="n">
        <v>0</v>
      </c>
      <c r="G733" s="32" t="n">
        <v>0</v>
      </c>
      <c r="H733" s="32" t="n">
        <v>0</v>
      </c>
      <c r="I733" s="32" t="n">
        <v>0</v>
      </c>
      <c r="J733" s="32" t="n">
        <v>0</v>
      </c>
      <c r="K733" s="32" t="n">
        <v>0</v>
      </c>
      <c r="L733" s="32" t="n">
        <v>1</v>
      </c>
      <c r="M733" s="32" t="n">
        <v>0</v>
      </c>
      <c r="N733" s="32" t="n">
        <v>0</v>
      </c>
      <c r="O733" s="32" t="n">
        <v>0</v>
      </c>
      <c r="P733" s="32" t="n">
        <v>1</v>
      </c>
      <c r="Q733" s="32" t="n">
        <v>0</v>
      </c>
      <c r="R733" s="32" t="n">
        <v>0</v>
      </c>
      <c r="S733" s="32" t="n">
        <v>0</v>
      </c>
      <c r="T733" s="32" t="n">
        <v>0</v>
      </c>
      <c r="U733" s="32" t="n">
        <v>0</v>
      </c>
      <c r="V733" s="32" t="n">
        <v>0</v>
      </c>
      <c r="W733" s="32" t="n">
        <v>1</v>
      </c>
      <c r="X733" s="32" t="n">
        <v>0</v>
      </c>
      <c r="Y733" s="32" t="n">
        <v>0</v>
      </c>
      <c r="Z733" s="32" t="n">
        <v>0</v>
      </c>
      <c r="AA733" s="32" t="n">
        <v>0</v>
      </c>
      <c r="AB733" s="32" t="n">
        <v>0</v>
      </c>
      <c r="AC733" s="30" t="s">
        <v>834</v>
      </c>
      <c r="AD733" s="37" t="n">
        <f aca="false">B733-B732</f>
        <v>0.125</v>
      </c>
    </row>
    <row r="734" customFormat="false" ht="15" hidden="false" customHeight="false" outlineLevel="0" collapsed="false">
      <c r="A734" s="33" t="n">
        <v>731</v>
      </c>
      <c r="B734" s="34" t="n">
        <f aca="false">Summary!$B$5+IF(D734=1,0,IF(C734=1,Summary!$B$6,NA()))+(MATCH(1,E734:L734,0)-1)*Summary!$B$7+(MATCH(1,M734:T734,0)-1)*Summary!$B$8+(MATCH(1,U734:AB734,0)-1)*Summary!$B$9</f>
        <v>121.375</v>
      </c>
      <c r="C734" s="35" t="n">
        <v>1</v>
      </c>
      <c r="D734" s="35" t="n">
        <v>0</v>
      </c>
      <c r="E734" s="35" t="n">
        <v>0</v>
      </c>
      <c r="F734" s="35" t="n">
        <v>0</v>
      </c>
      <c r="G734" s="35" t="n">
        <v>0</v>
      </c>
      <c r="H734" s="35" t="n">
        <v>0</v>
      </c>
      <c r="I734" s="35" t="n">
        <v>0</v>
      </c>
      <c r="J734" s="35" t="n">
        <v>0</v>
      </c>
      <c r="K734" s="35" t="n">
        <v>0</v>
      </c>
      <c r="L734" s="35" t="n">
        <v>1</v>
      </c>
      <c r="M734" s="35" t="n">
        <v>0</v>
      </c>
      <c r="N734" s="35" t="n">
        <v>0</v>
      </c>
      <c r="O734" s="35" t="n">
        <v>0</v>
      </c>
      <c r="P734" s="35" t="n">
        <v>1</v>
      </c>
      <c r="Q734" s="35" t="n">
        <v>0</v>
      </c>
      <c r="R734" s="35" t="n">
        <v>0</v>
      </c>
      <c r="S734" s="35" t="n">
        <v>0</v>
      </c>
      <c r="T734" s="35" t="n">
        <v>0</v>
      </c>
      <c r="U734" s="35" t="n">
        <v>0</v>
      </c>
      <c r="V734" s="35" t="n">
        <v>0</v>
      </c>
      <c r="W734" s="35" t="n">
        <v>0</v>
      </c>
      <c r="X734" s="35" t="n">
        <v>1</v>
      </c>
      <c r="Y734" s="35" t="n">
        <v>0</v>
      </c>
      <c r="Z734" s="35" t="n">
        <v>0</v>
      </c>
      <c r="AA734" s="35" t="n">
        <v>0</v>
      </c>
      <c r="AB734" s="35" t="n">
        <v>0</v>
      </c>
      <c r="AC734" s="33" t="s">
        <v>835</v>
      </c>
      <c r="AD734" s="36" t="n">
        <f aca="false">B734-B733</f>
        <v>0.125</v>
      </c>
    </row>
    <row r="735" customFormat="false" ht="15" hidden="false" customHeight="false" outlineLevel="0" collapsed="false">
      <c r="A735" s="30" t="n">
        <v>732</v>
      </c>
      <c r="B735" s="31" t="n">
        <f aca="false">Summary!$B$5+IF(D735=1,0,IF(C735=1,Summary!$B$6,NA()))+(MATCH(1,E735:L735,0)-1)*Summary!$B$7+(MATCH(1,M735:T735,0)-1)*Summary!$B$8+(MATCH(1,U735:AB735,0)-1)*Summary!$B$9</f>
        <v>121.5</v>
      </c>
      <c r="C735" s="32" t="n">
        <v>1</v>
      </c>
      <c r="D735" s="32" t="n">
        <v>0</v>
      </c>
      <c r="E735" s="32" t="n">
        <v>0</v>
      </c>
      <c r="F735" s="32" t="n">
        <v>0</v>
      </c>
      <c r="G735" s="32" t="n">
        <v>0</v>
      </c>
      <c r="H735" s="32" t="n">
        <v>0</v>
      </c>
      <c r="I735" s="32" t="n">
        <v>0</v>
      </c>
      <c r="J735" s="32" t="n">
        <v>0</v>
      </c>
      <c r="K735" s="32" t="n">
        <v>0</v>
      </c>
      <c r="L735" s="32" t="n">
        <v>1</v>
      </c>
      <c r="M735" s="32" t="n">
        <v>0</v>
      </c>
      <c r="N735" s="32" t="n">
        <v>0</v>
      </c>
      <c r="O735" s="32" t="n">
        <v>0</v>
      </c>
      <c r="P735" s="32" t="n">
        <v>1</v>
      </c>
      <c r="Q735" s="32" t="n">
        <v>0</v>
      </c>
      <c r="R735" s="32" t="n">
        <v>0</v>
      </c>
      <c r="S735" s="32" t="n">
        <v>0</v>
      </c>
      <c r="T735" s="32" t="n">
        <v>0</v>
      </c>
      <c r="U735" s="32" t="n">
        <v>0</v>
      </c>
      <c r="V735" s="32" t="n">
        <v>0</v>
      </c>
      <c r="W735" s="32" t="n">
        <v>0</v>
      </c>
      <c r="X735" s="32" t="n">
        <v>0</v>
      </c>
      <c r="Y735" s="32" t="n">
        <v>1</v>
      </c>
      <c r="Z735" s="32" t="n">
        <v>0</v>
      </c>
      <c r="AA735" s="32" t="n">
        <v>0</v>
      </c>
      <c r="AB735" s="32" t="n">
        <v>0</v>
      </c>
      <c r="AC735" s="30" t="s">
        <v>836</v>
      </c>
      <c r="AD735" s="37" t="n">
        <f aca="false">B735-B734</f>
        <v>0.125</v>
      </c>
    </row>
    <row r="736" customFormat="false" ht="15" hidden="false" customHeight="false" outlineLevel="0" collapsed="false">
      <c r="A736" s="33" t="n">
        <v>733</v>
      </c>
      <c r="B736" s="34" t="n">
        <f aca="false">Summary!$B$5+IF(D736=1,0,IF(C736=1,Summary!$B$6,NA()))+(MATCH(1,E736:L736,0)-1)*Summary!$B$7+(MATCH(1,M736:T736,0)-1)*Summary!$B$8+(MATCH(1,U736:AB736,0)-1)*Summary!$B$9</f>
        <v>121.625</v>
      </c>
      <c r="C736" s="35" t="n">
        <v>1</v>
      </c>
      <c r="D736" s="35" t="n">
        <v>0</v>
      </c>
      <c r="E736" s="35" t="n">
        <v>0</v>
      </c>
      <c r="F736" s="35" t="n">
        <v>0</v>
      </c>
      <c r="G736" s="35" t="n">
        <v>0</v>
      </c>
      <c r="H736" s="35" t="n">
        <v>0</v>
      </c>
      <c r="I736" s="35" t="n">
        <v>0</v>
      </c>
      <c r="J736" s="35" t="n">
        <v>0</v>
      </c>
      <c r="K736" s="35" t="n">
        <v>0</v>
      </c>
      <c r="L736" s="35" t="n">
        <v>1</v>
      </c>
      <c r="M736" s="35" t="n">
        <v>0</v>
      </c>
      <c r="N736" s="35" t="n">
        <v>0</v>
      </c>
      <c r="O736" s="35" t="n">
        <v>0</v>
      </c>
      <c r="P736" s="35" t="n">
        <v>1</v>
      </c>
      <c r="Q736" s="35" t="n">
        <v>0</v>
      </c>
      <c r="R736" s="35" t="n">
        <v>0</v>
      </c>
      <c r="S736" s="35" t="n">
        <v>0</v>
      </c>
      <c r="T736" s="35" t="n">
        <v>0</v>
      </c>
      <c r="U736" s="35" t="n">
        <v>0</v>
      </c>
      <c r="V736" s="35" t="n">
        <v>0</v>
      </c>
      <c r="W736" s="35" t="n">
        <v>0</v>
      </c>
      <c r="X736" s="35" t="n">
        <v>0</v>
      </c>
      <c r="Y736" s="35" t="n">
        <v>0</v>
      </c>
      <c r="Z736" s="35" t="n">
        <v>1</v>
      </c>
      <c r="AA736" s="35" t="n">
        <v>0</v>
      </c>
      <c r="AB736" s="35" t="n">
        <v>0</v>
      </c>
      <c r="AC736" s="33" t="s">
        <v>837</v>
      </c>
      <c r="AD736" s="36" t="n">
        <f aca="false">B736-B735</f>
        <v>0.125</v>
      </c>
    </row>
    <row r="737" customFormat="false" ht="15" hidden="false" customHeight="false" outlineLevel="0" collapsed="false">
      <c r="A737" s="30" t="n">
        <v>734</v>
      </c>
      <c r="B737" s="31" t="n">
        <f aca="false">Summary!$B$5+IF(D737=1,0,IF(C737=1,Summary!$B$6,NA()))+(MATCH(1,E737:L737,0)-1)*Summary!$B$7+(MATCH(1,M737:T737,0)-1)*Summary!$B$8+(MATCH(1,U737:AB737,0)-1)*Summary!$B$9</f>
        <v>121.75</v>
      </c>
      <c r="C737" s="32" t="n">
        <v>1</v>
      </c>
      <c r="D737" s="32" t="n">
        <v>0</v>
      </c>
      <c r="E737" s="32" t="n">
        <v>0</v>
      </c>
      <c r="F737" s="32" t="n">
        <v>0</v>
      </c>
      <c r="G737" s="32" t="n">
        <v>0</v>
      </c>
      <c r="H737" s="32" t="n">
        <v>0</v>
      </c>
      <c r="I737" s="32" t="n">
        <v>0</v>
      </c>
      <c r="J737" s="32" t="n">
        <v>0</v>
      </c>
      <c r="K737" s="32" t="n">
        <v>0</v>
      </c>
      <c r="L737" s="32" t="n">
        <v>1</v>
      </c>
      <c r="M737" s="32" t="n">
        <v>0</v>
      </c>
      <c r="N737" s="32" t="n">
        <v>0</v>
      </c>
      <c r="O737" s="32" t="n">
        <v>0</v>
      </c>
      <c r="P737" s="32" t="n">
        <v>1</v>
      </c>
      <c r="Q737" s="32" t="n">
        <v>0</v>
      </c>
      <c r="R737" s="32" t="n">
        <v>0</v>
      </c>
      <c r="S737" s="32" t="n">
        <v>0</v>
      </c>
      <c r="T737" s="32" t="n">
        <v>0</v>
      </c>
      <c r="U737" s="32" t="n">
        <v>0</v>
      </c>
      <c r="V737" s="32" t="n">
        <v>0</v>
      </c>
      <c r="W737" s="32" t="n">
        <v>0</v>
      </c>
      <c r="X737" s="32" t="n">
        <v>0</v>
      </c>
      <c r="Y737" s="32" t="n">
        <v>0</v>
      </c>
      <c r="Z737" s="32" t="n">
        <v>0</v>
      </c>
      <c r="AA737" s="32" t="n">
        <v>1</v>
      </c>
      <c r="AB737" s="32" t="n">
        <v>0</v>
      </c>
      <c r="AC737" s="30" t="s">
        <v>838</v>
      </c>
      <c r="AD737" s="37" t="n">
        <f aca="false">B737-B736</f>
        <v>0.125</v>
      </c>
    </row>
    <row r="738" customFormat="false" ht="15" hidden="false" customHeight="false" outlineLevel="0" collapsed="false">
      <c r="A738" s="33" t="n">
        <v>735</v>
      </c>
      <c r="B738" s="34" t="n">
        <f aca="false">Summary!$B$5+IF(D738=1,0,IF(C738=1,Summary!$B$6,NA()))+(MATCH(1,E738:L738,0)-1)*Summary!$B$7+(MATCH(1,M738:T738,0)-1)*Summary!$B$8+(MATCH(1,U738:AB738,0)-1)*Summary!$B$9</f>
        <v>121.875</v>
      </c>
      <c r="C738" s="35" t="n">
        <v>1</v>
      </c>
      <c r="D738" s="35" t="n">
        <v>0</v>
      </c>
      <c r="E738" s="35" t="n">
        <v>0</v>
      </c>
      <c r="F738" s="35" t="n">
        <v>0</v>
      </c>
      <c r="G738" s="35" t="n">
        <v>0</v>
      </c>
      <c r="H738" s="35" t="n">
        <v>0</v>
      </c>
      <c r="I738" s="35" t="n">
        <v>0</v>
      </c>
      <c r="J738" s="35" t="n">
        <v>0</v>
      </c>
      <c r="K738" s="35" t="n">
        <v>0</v>
      </c>
      <c r="L738" s="35" t="n">
        <v>1</v>
      </c>
      <c r="M738" s="35" t="n">
        <v>0</v>
      </c>
      <c r="N738" s="35" t="n">
        <v>0</v>
      </c>
      <c r="O738" s="35" t="n">
        <v>0</v>
      </c>
      <c r="P738" s="35" t="n">
        <v>1</v>
      </c>
      <c r="Q738" s="35" t="n">
        <v>0</v>
      </c>
      <c r="R738" s="35" t="n">
        <v>0</v>
      </c>
      <c r="S738" s="35" t="n">
        <v>0</v>
      </c>
      <c r="T738" s="35" t="n">
        <v>0</v>
      </c>
      <c r="U738" s="35" t="n">
        <v>0</v>
      </c>
      <c r="V738" s="35" t="n">
        <v>0</v>
      </c>
      <c r="W738" s="35" t="n">
        <v>0</v>
      </c>
      <c r="X738" s="35" t="n">
        <v>0</v>
      </c>
      <c r="Y738" s="35" t="n">
        <v>0</v>
      </c>
      <c r="Z738" s="35" t="n">
        <v>0</v>
      </c>
      <c r="AA738" s="35" t="n">
        <v>0</v>
      </c>
      <c r="AB738" s="35" t="n">
        <v>1</v>
      </c>
      <c r="AC738" s="33" t="s">
        <v>839</v>
      </c>
      <c r="AD738" s="36" t="n">
        <f aca="false">B738-B737</f>
        <v>0.125</v>
      </c>
    </row>
    <row r="739" customFormat="false" ht="15" hidden="false" customHeight="false" outlineLevel="0" collapsed="false">
      <c r="A739" s="30" t="n">
        <v>736</v>
      </c>
      <c r="B739" s="31" t="n">
        <f aca="false">Summary!$B$5+IF(D739=1,0,IF(C739=1,Summary!$B$6,NA()))+(MATCH(1,E739:L739,0)-1)*Summary!$B$7+(MATCH(1,M739:T739,0)-1)*Summary!$B$8+(MATCH(1,U739:AB739,0)-1)*Summary!$B$9</f>
        <v>122</v>
      </c>
      <c r="C739" s="32" t="n">
        <v>1</v>
      </c>
      <c r="D739" s="32" t="n">
        <v>0</v>
      </c>
      <c r="E739" s="32" t="n">
        <v>0</v>
      </c>
      <c r="F739" s="32" t="n">
        <v>0</v>
      </c>
      <c r="G739" s="32" t="n">
        <v>0</v>
      </c>
      <c r="H739" s="32" t="n">
        <v>0</v>
      </c>
      <c r="I739" s="32" t="n">
        <v>0</v>
      </c>
      <c r="J739" s="32" t="n">
        <v>0</v>
      </c>
      <c r="K739" s="32" t="n">
        <v>0</v>
      </c>
      <c r="L739" s="32" t="n">
        <v>1</v>
      </c>
      <c r="M739" s="32" t="n">
        <v>0</v>
      </c>
      <c r="N739" s="32" t="n">
        <v>0</v>
      </c>
      <c r="O739" s="32" t="n">
        <v>0</v>
      </c>
      <c r="P739" s="32" t="n">
        <v>0</v>
      </c>
      <c r="Q739" s="32" t="n">
        <v>1</v>
      </c>
      <c r="R739" s="32" t="n">
        <v>0</v>
      </c>
      <c r="S739" s="32" t="n">
        <v>0</v>
      </c>
      <c r="T739" s="32" t="n">
        <v>0</v>
      </c>
      <c r="U739" s="32" t="n">
        <v>1</v>
      </c>
      <c r="V739" s="32" t="n">
        <v>0</v>
      </c>
      <c r="W739" s="32" t="n">
        <v>0</v>
      </c>
      <c r="X739" s="32" t="n">
        <v>0</v>
      </c>
      <c r="Y739" s="32" t="n">
        <v>0</v>
      </c>
      <c r="Z739" s="32" t="n">
        <v>0</v>
      </c>
      <c r="AA739" s="32" t="n">
        <v>0</v>
      </c>
      <c r="AB739" s="32" t="n">
        <v>0</v>
      </c>
      <c r="AC739" s="30" t="s">
        <v>840</v>
      </c>
      <c r="AD739" s="37" t="n">
        <f aca="false">B739-B738</f>
        <v>0.125</v>
      </c>
    </row>
    <row r="740" customFormat="false" ht="15" hidden="false" customHeight="false" outlineLevel="0" collapsed="false">
      <c r="A740" s="33" t="n">
        <v>737</v>
      </c>
      <c r="B740" s="34" t="n">
        <f aca="false">Summary!$B$5+IF(D740=1,0,IF(C740=1,Summary!$B$6,NA()))+(MATCH(1,E740:L740,0)-1)*Summary!$B$7+(MATCH(1,M740:T740,0)-1)*Summary!$B$8+(MATCH(1,U740:AB740,0)-1)*Summary!$B$9</f>
        <v>122.125</v>
      </c>
      <c r="C740" s="35" t="n">
        <v>1</v>
      </c>
      <c r="D740" s="35" t="n">
        <v>0</v>
      </c>
      <c r="E740" s="35" t="n">
        <v>0</v>
      </c>
      <c r="F740" s="35" t="n">
        <v>0</v>
      </c>
      <c r="G740" s="35" t="n">
        <v>0</v>
      </c>
      <c r="H740" s="35" t="n">
        <v>0</v>
      </c>
      <c r="I740" s="35" t="n">
        <v>0</v>
      </c>
      <c r="J740" s="35" t="n">
        <v>0</v>
      </c>
      <c r="K740" s="35" t="n">
        <v>0</v>
      </c>
      <c r="L740" s="35" t="n">
        <v>1</v>
      </c>
      <c r="M740" s="35" t="n">
        <v>0</v>
      </c>
      <c r="N740" s="35" t="n">
        <v>0</v>
      </c>
      <c r="O740" s="35" t="n">
        <v>0</v>
      </c>
      <c r="P740" s="35" t="n">
        <v>0</v>
      </c>
      <c r="Q740" s="35" t="n">
        <v>1</v>
      </c>
      <c r="R740" s="35" t="n">
        <v>0</v>
      </c>
      <c r="S740" s="35" t="n">
        <v>0</v>
      </c>
      <c r="T740" s="35" t="n">
        <v>0</v>
      </c>
      <c r="U740" s="35" t="n">
        <v>0</v>
      </c>
      <c r="V740" s="35" t="n">
        <v>1</v>
      </c>
      <c r="W740" s="35" t="n">
        <v>0</v>
      </c>
      <c r="X740" s="35" t="n">
        <v>0</v>
      </c>
      <c r="Y740" s="35" t="n">
        <v>0</v>
      </c>
      <c r="Z740" s="35" t="n">
        <v>0</v>
      </c>
      <c r="AA740" s="35" t="n">
        <v>0</v>
      </c>
      <c r="AB740" s="35" t="n">
        <v>0</v>
      </c>
      <c r="AC740" s="33" t="s">
        <v>841</v>
      </c>
      <c r="AD740" s="36" t="n">
        <f aca="false">B740-B739</f>
        <v>0.125</v>
      </c>
    </row>
    <row r="741" customFormat="false" ht="15" hidden="false" customHeight="false" outlineLevel="0" collapsed="false">
      <c r="A741" s="30" t="n">
        <v>738</v>
      </c>
      <c r="B741" s="31" t="n">
        <f aca="false">Summary!$B$5+IF(D741=1,0,IF(C741=1,Summary!$B$6,NA()))+(MATCH(1,E741:L741,0)-1)*Summary!$B$7+(MATCH(1,M741:T741,0)-1)*Summary!$B$8+(MATCH(1,U741:AB741,0)-1)*Summary!$B$9</f>
        <v>122.25</v>
      </c>
      <c r="C741" s="32" t="n">
        <v>1</v>
      </c>
      <c r="D741" s="32" t="n">
        <v>0</v>
      </c>
      <c r="E741" s="32" t="n">
        <v>0</v>
      </c>
      <c r="F741" s="32" t="n">
        <v>0</v>
      </c>
      <c r="G741" s="32" t="n">
        <v>0</v>
      </c>
      <c r="H741" s="32" t="n">
        <v>0</v>
      </c>
      <c r="I741" s="32" t="n">
        <v>0</v>
      </c>
      <c r="J741" s="32" t="n">
        <v>0</v>
      </c>
      <c r="K741" s="32" t="n">
        <v>0</v>
      </c>
      <c r="L741" s="32" t="n">
        <v>1</v>
      </c>
      <c r="M741" s="32" t="n">
        <v>0</v>
      </c>
      <c r="N741" s="32" t="n">
        <v>0</v>
      </c>
      <c r="O741" s="32" t="n">
        <v>0</v>
      </c>
      <c r="P741" s="32" t="n">
        <v>0</v>
      </c>
      <c r="Q741" s="32" t="n">
        <v>1</v>
      </c>
      <c r="R741" s="32" t="n">
        <v>0</v>
      </c>
      <c r="S741" s="32" t="n">
        <v>0</v>
      </c>
      <c r="T741" s="32" t="n">
        <v>0</v>
      </c>
      <c r="U741" s="32" t="n">
        <v>0</v>
      </c>
      <c r="V741" s="32" t="n">
        <v>0</v>
      </c>
      <c r="W741" s="32" t="n">
        <v>1</v>
      </c>
      <c r="X741" s="32" t="n">
        <v>0</v>
      </c>
      <c r="Y741" s="32" t="n">
        <v>0</v>
      </c>
      <c r="Z741" s="32" t="n">
        <v>0</v>
      </c>
      <c r="AA741" s="32" t="n">
        <v>0</v>
      </c>
      <c r="AB741" s="32" t="n">
        <v>0</v>
      </c>
      <c r="AC741" s="30" t="s">
        <v>842</v>
      </c>
      <c r="AD741" s="37" t="n">
        <f aca="false">B741-B740</f>
        <v>0.125</v>
      </c>
    </row>
    <row r="742" customFormat="false" ht="15" hidden="false" customHeight="false" outlineLevel="0" collapsed="false">
      <c r="A742" s="33" t="n">
        <v>739</v>
      </c>
      <c r="B742" s="34" t="n">
        <f aca="false">Summary!$B$5+IF(D742=1,0,IF(C742=1,Summary!$B$6,NA()))+(MATCH(1,E742:L742,0)-1)*Summary!$B$7+(MATCH(1,M742:T742,0)-1)*Summary!$B$8+(MATCH(1,U742:AB742,0)-1)*Summary!$B$9</f>
        <v>122.375</v>
      </c>
      <c r="C742" s="35" t="n">
        <v>1</v>
      </c>
      <c r="D742" s="35" t="n">
        <v>0</v>
      </c>
      <c r="E742" s="35" t="n">
        <v>0</v>
      </c>
      <c r="F742" s="35" t="n">
        <v>0</v>
      </c>
      <c r="G742" s="35" t="n">
        <v>0</v>
      </c>
      <c r="H742" s="35" t="n">
        <v>0</v>
      </c>
      <c r="I742" s="35" t="n">
        <v>0</v>
      </c>
      <c r="J742" s="35" t="n">
        <v>0</v>
      </c>
      <c r="K742" s="35" t="n">
        <v>0</v>
      </c>
      <c r="L742" s="35" t="n">
        <v>1</v>
      </c>
      <c r="M742" s="35" t="n">
        <v>0</v>
      </c>
      <c r="N742" s="35" t="n">
        <v>0</v>
      </c>
      <c r="O742" s="35" t="n">
        <v>0</v>
      </c>
      <c r="P742" s="35" t="n">
        <v>0</v>
      </c>
      <c r="Q742" s="35" t="n">
        <v>1</v>
      </c>
      <c r="R742" s="35" t="n">
        <v>0</v>
      </c>
      <c r="S742" s="35" t="n">
        <v>0</v>
      </c>
      <c r="T742" s="35" t="n">
        <v>0</v>
      </c>
      <c r="U742" s="35" t="n">
        <v>0</v>
      </c>
      <c r="V742" s="35" t="n">
        <v>0</v>
      </c>
      <c r="W742" s="35" t="n">
        <v>0</v>
      </c>
      <c r="X742" s="35" t="n">
        <v>1</v>
      </c>
      <c r="Y742" s="35" t="n">
        <v>0</v>
      </c>
      <c r="Z742" s="35" t="n">
        <v>0</v>
      </c>
      <c r="AA742" s="35" t="n">
        <v>0</v>
      </c>
      <c r="AB742" s="35" t="n">
        <v>0</v>
      </c>
      <c r="AC742" s="33" t="s">
        <v>843</v>
      </c>
      <c r="AD742" s="36" t="n">
        <f aca="false">B742-B741</f>
        <v>0.125</v>
      </c>
    </row>
    <row r="743" customFormat="false" ht="15" hidden="false" customHeight="false" outlineLevel="0" collapsed="false">
      <c r="A743" s="30" t="n">
        <v>740</v>
      </c>
      <c r="B743" s="31" t="n">
        <f aca="false">Summary!$B$5+IF(D743=1,0,IF(C743=1,Summary!$B$6,NA()))+(MATCH(1,E743:L743,0)-1)*Summary!$B$7+(MATCH(1,M743:T743,0)-1)*Summary!$B$8+(MATCH(1,U743:AB743,0)-1)*Summary!$B$9</f>
        <v>122.5</v>
      </c>
      <c r="C743" s="32" t="n">
        <v>1</v>
      </c>
      <c r="D743" s="32" t="n">
        <v>0</v>
      </c>
      <c r="E743" s="32" t="n">
        <v>0</v>
      </c>
      <c r="F743" s="32" t="n">
        <v>0</v>
      </c>
      <c r="G743" s="32" t="n">
        <v>0</v>
      </c>
      <c r="H743" s="32" t="n">
        <v>0</v>
      </c>
      <c r="I743" s="32" t="n">
        <v>0</v>
      </c>
      <c r="J743" s="32" t="n">
        <v>0</v>
      </c>
      <c r="K743" s="32" t="n">
        <v>0</v>
      </c>
      <c r="L743" s="32" t="n">
        <v>1</v>
      </c>
      <c r="M743" s="32" t="n">
        <v>0</v>
      </c>
      <c r="N743" s="32" t="n">
        <v>0</v>
      </c>
      <c r="O743" s="32" t="n">
        <v>0</v>
      </c>
      <c r="P743" s="32" t="n">
        <v>0</v>
      </c>
      <c r="Q743" s="32" t="n">
        <v>1</v>
      </c>
      <c r="R743" s="32" t="n">
        <v>0</v>
      </c>
      <c r="S743" s="32" t="n">
        <v>0</v>
      </c>
      <c r="T743" s="32" t="n">
        <v>0</v>
      </c>
      <c r="U743" s="32" t="n">
        <v>0</v>
      </c>
      <c r="V743" s="32" t="n">
        <v>0</v>
      </c>
      <c r="W743" s="32" t="n">
        <v>0</v>
      </c>
      <c r="X743" s="32" t="n">
        <v>0</v>
      </c>
      <c r="Y743" s="32" t="n">
        <v>1</v>
      </c>
      <c r="Z743" s="32" t="n">
        <v>0</v>
      </c>
      <c r="AA743" s="32" t="n">
        <v>0</v>
      </c>
      <c r="AB743" s="32" t="n">
        <v>0</v>
      </c>
      <c r="AC743" s="30" t="s">
        <v>844</v>
      </c>
      <c r="AD743" s="37" t="n">
        <f aca="false">B743-B742</f>
        <v>0.125</v>
      </c>
    </row>
    <row r="744" customFormat="false" ht="15" hidden="false" customHeight="false" outlineLevel="0" collapsed="false">
      <c r="A744" s="33" t="n">
        <v>741</v>
      </c>
      <c r="B744" s="34" t="n">
        <f aca="false">Summary!$B$5+IF(D744=1,0,IF(C744=1,Summary!$B$6,NA()))+(MATCH(1,E744:L744,0)-1)*Summary!$B$7+(MATCH(1,M744:T744,0)-1)*Summary!$B$8+(MATCH(1,U744:AB744,0)-1)*Summary!$B$9</f>
        <v>122.625</v>
      </c>
      <c r="C744" s="35" t="n">
        <v>1</v>
      </c>
      <c r="D744" s="35" t="n">
        <v>0</v>
      </c>
      <c r="E744" s="35" t="n">
        <v>0</v>
      </c>
      <c r="F744" s="35" t="n">
        <v>0</v>
      </c>
      <c r="G744" s="35" t="n">
        <v>0</v>
      </c>
      <c r="H744" s="35" t="n">
        <v>0</v>
      </c>
      <c r="I744" s="35" t="n">
        <v>0</v>
      </c>
      <c r="J744" s="35" t="n">
        <v>0</v>
      </c>
      <c r="K744" s="35" t="n">
        <v>0</v>
      </c>
      <c r="L744" s="35" t="n">
        <v>1</v>
      </c>
      <c r="M744" s="35" t="n">
        <v>0</v>
      </c>
      <c r="N744" s="35" t="n">
        <v>0</v>
      </c>
      <c r="O744" s="35" t="n">
        <v>0</v>
      </c>
      <c r="P744" s="35" t="n">
        <v>0</v>
      </c>
      <c r="Q744" s="35" t="n">
        <v>1</v>
      </c>
      <c r="R744" s="35" t="n">
        <v>0</v>
      </c>
      <c r="S744" s="35" t="n">
        <v>0</v>
      </c>
      <c r="T744" s="35" t="n">
        <v>0</v>
      </c>
      <c r="U744" s="35" t="n">
        <v>0</v>
      </c>
      <c r="V744" s="35" t="n">
        <v>0</v>
      </c>
      <c r="W744" s="35" t="n">
        <v>0</v>
      </c>
      <c r="X744" s="35" t="n">
        <v>0</v>
      </c>
      <c r="Y744" s="35" t="n">
        <v>0</v>
      </c>
      <c r="Z744" s="35" t="n">
        <v>1</v>
      </c>
      <c r="AA744" s="35" t="n">
        <v>0</v>
      </c>
      <c r="AB744" s="35" t="n">
        <v>0</v>
      </c>
      <c r="AC744" s="33" t="s">
        <v>845</v>
      </c>
      <c r="AD744" s="36" t="n">
        <f aca="false">B744-B743</f>
        <v>0.125</v>
      </c>
    </row>
    <row r="745" customFormat="false" ht="15" hidden="false" customHeight="false" outlineLevel="0" collapsed="false">
      <c r="A745" s="30" t="n">
        <v>742</v>
      </c>
      <c r="B745" s="31" t="n">
        <f aca="false">Summary!$B$5+IF(D745=1,0,IF(C745=1,Summary!$B$6,NA()))+(MATCH(1,E745:L745,0)-1)*Summary!$B$7+(MATCH(1,M745:T745,0)-1)*Summary!$B$8+(MATCH(1,U745:AB745,0)-1)*Summary!$B$9</f>
        <v>122.75</v>
      </c>
      <c r="C745" s="32" t="n">
        <v>1</v>
      </c>
      <c r="D745" s="32" t="n">
        <v>0</v>
      </c>
      <c r="E745" s="32" t="n">
        <v>0</v>
      </c>
      <c r="F745" s="32" t="n">
        <v>0</v>
      </c>
      <c r="G745" s="32" t="n">
        <v>0</v>
      </c>
      <c r="H745" s="32" t="n">
        <v>0</v>
      </c>
      <c r="I745" s="32" t="n">
        <v>0</v>
      </c>
      <c r="J745" s="32" t="n">
        <v>0</v>
      </c>
      <c r="K745" s="32" t="n">
        <v>0</v>
      </c>
      <c r="L745" s="32" t="n">
        <v>1</v>
      </c>
      <c r="M745" s="32" t="n">
        <v>0</v>
      </c>
      <c r="N745" s="32" t="n">
        <v>0</v>
      </c>
      <c r="O745" s="32" t="n">
        <v>0</v>
      </c>
      <c r="P745" s="32" t="n">
        <v>0</v>
      </c>
      <c r="Q745" s="32" t="n">
        <v>1</v>
      </c>
      <c r="R745" s="32" t="n">
        <v>0</v>
      </c>
      <c r="S745" s="32" t="n">
        <v>0</v>
      </c>
      <c r="T745" s="32" t="n">
        <v>0</v>
      </c>
      <c r="U745" s="32" t="n">
        <v>0</v>
      </c>
      <c r="V745" s="32" t="n">
        <v>0</v>
      </c>
      <c r="W745" s="32" t="n">
        <v>0</v>
      </c>
      <c r="X745" s="32" t="n">
        <v>0</v>
      </c>
      <c r="Y745" s="32" t="n">
        <v>0</v>
      </c>
      <c r="Z745" s="32" t="n">
        <v>0</v>
      </c>
      <c r="AA745" s="32" t="n">
        <v>1</v>
      </c>
      <c r="AB745" s="32" t="n">
        <v>0</v>
      </c>
      <c r="AC745" s="30" t="s">
        <v>846</v>
      </c>
      <c r="AD745" s="37" t="n">
        <f aca="false">B745-B744</f>
        <v>0.125</v>
      </c>
    </row>
    <row r="746" customFormat="false" ht="15" hidden="false" customHeight="false" outlineLevel="0" collapsed="false">
      <c r="A746" s="33" t="n">
        <v>743</v>
      </c>
      <c r="B746" s="34" t="n">
        <f aca="false">Summary!$B$5+IF(D746=1,0,IF(C746=1,Summary!$B$6,NA()))+(MATCH(1,E746:L746,0)-1)*Summary!$B$7+(MATCH(1,M746:T746,0)-1)*Summary!$B$8+(MATCH(1,U746:AB746,0)-1)*Summary!$B$9</f>
        <v>122.875</v>
      </c>
      <c r="C746" s="35" t="n">
        <v>1</v>
      </c>
      <c r="D746" s="35" t="n">
        <v>0</v>
      </c>
      <c r="E746" s="35" t="n">
        <v>0</v>
      </c>
      <c r="F746" s="35" t="n">
        <v>0</v>
      </c>
      <c r="G746" s="35" t="n">
        <v>0</v>
      </c>
      <c r="H746" s="35" t="n">
        <v>0</v>
      </c>
      <c r="I746" s="35" t="n">
        <v>0</v>
      </c>
      <c r="J746" s="35" t="n">
        <v>0</v>
      </c>
      <c r="K746" s="35" t="n">
        <v>0</v>
      </c>
      <c r="L746" s="35" t="n">
        <v>1</v>
      </c>
      <c r="M746" s="35" t="n">
        <v>0</v>
      </c>
      <c r="N746" s="35" t="n">
        <v>0</v>
      </c>
      <c r="O746" s="35" t="n">
        <v>0</v>
      </c>
      <c r="P746" s="35" t="n">
        <v>0</v>
      </c>
      <c r="Q746" s="35" t="n">
        <v>1</v>
      </c>
      <c r="R746" s="35" t="n">
        <v>0</v>
      </c>
      <c r="S746" s="35" t="n">
        <v>0</v>
      </c>
      <c r="T746" s="35" t="n">
        <v>0</v>
      </c>
      <c r="U746" s="35" t="n">
        <v>0</v>
      </c>
      <c r="V746" s="35" t="n">
        <v>0</v>
      </c>
      <c r="W746" s="35" t="n">
        <v>0</v>
      </c>
      <c r="X746" s="35" t="n">
        <v>0</v>
      </c>
      <c r="Y746" s="35" t="n">
        <v>0</v>
      </c>
      <c r="Z746" s="35" t="n">
        <v>0</v>
      </c>
      <c r="AA746" s="35" t="n">
        <v>0</v>
      </c>
      <c r="AB746" s="35" t="n">
        <v>1</v>
      </c>
      <c r="AC746" s="33" t="s">
        <v>847</v>
      </c>
      <c r="AD746" s="36" t="n">
        <f aca="false">B746-B745</f>
        <v>0.125</v>
      </c>
    </row>
    <row r="747" customFormat="false" ht="15" hidden="false" customHeight="false" outlineLevel="0" collapsed="false">
      <c r="A747" s="30" t="n">
        <v>744</v>
      </c>
      <c r="B747" s="31" t="n">
        <f aca="false">Summary!$B$5+IF(D747=1,0,IF(C747=1,Summary!$B$6,NA()))+(MATCH(1,E747:L747,0)-1)*Summary!$B$7+(MATCH(1,M747:T747,0)-1)*Summary!$B$8+(MATCH(1,U747:AB747,0)-1)*Summary!$B$9</f>
        <v>123</v>
      </c>
      <c r="C747" s="32" t="n">
        <v>1</v>
      </c>
      <c r="D747" s="32" t="n">
        <v>0</v>
      </c>
      <c r="E747" s="32" t="n">
        <v>0</v>
      </c>
      <c r="F747" s="32" t="n">
        <v>0</v>
      </c>
      <c r="G747" s="32" t="n">
        <v>0</v>
      </c>
      <c r="H747" s="32" t="n">
        <v>0</v>
      </c>
      <c r="I747" s="32" t="n">
        <v>0</v>
      </c>
      <c r="J747" s="32" t="n">
        <v>0</v>
      </c>
      <c r="K747" s="32" t="n">
        <v>0</v>
      </c>
      <c r="L747" s="32" t="n">
        <v>1</v>
      </c>
      <c r="M747" s="32" t="n">
        <v>0</v>
      </c>
      <c r="N747" s="32" t="n">
        <v>0</v>
      </c>
      <c r="O747" s="32" t="n">
        <v>0</v>
      </c>
      <c r="P747" s="32" t="n">
        <v>0</v>
      </c>
      <c r="Q747" s="32" t="n">
        <v>0</v>
      </c>
      <c r="R747" s="32" t="n">
        <v>1</v>
      </c>
      <c r="S747" s="32" t="n">
        <v>0</v>
      </c>
      <c r="T747" s="32" t="n">
        <v>0</v>
      </c>
      <c r="U747" s="32" t="n">
        <v>1</v>
      </c>
      <c r="V747" s="32" t="n">
        <v>0</v>
      </c>
      <c r="W747" s="32" t="n">
        <v>0</v>
      </c>
      <c r="X747" s="32" t="n">
        <v>0</v>
      </c>
      <c r="Y747" s="32" t="n">
        <v>0</v>
      </c>
      <c r="Z747" s="32" t="n">
        <v>0</v>
      </c>
      <c r="AA747" s="32" t="n">
        <v>0</v>
      </c>
      <c r="AB747" s="32" t="n">
        <v>0</v>
      </c>
      <c r="AC747" s="30" t="s">
        <v>848</v>
      </c>
      <c r="AD747" s="37" t="n">
        <f aca="false">B747-B746</f>
        <v>0.125</v>
      </c>
    </row>
    <row r="748" customFormat="false" ht="15" hidden="false" customHeight="false" outlineLevel="0" collapsed="false">
      <c r="A748" s="33" t="n">
        <v>745</v>
      </c>
      <c r="B748" s="34" t="n">
        <f aca="false">Summary!$B$5+IF(D748=1,0,IF(C748=1,Summary!$B$6,NA()))+(MATCH(1,E748:L748,0)-1)*Summary!$B$7+(MATCH(1,M748:T748,0)-1)*Summary!$B$8+(MATCH(1,U748:AB748,0)-1)*Summary!$B$9</f>
        <v>123.125</v>
      </c>
      <c r="C748" s="35" t="n">
        <v>1</v>
      </c>
      <c r="D748" s="35" t="n">
        <v>0</v>
      </c>
      <c r="E748" s="35" t="n">
        <v>0</v>
      </c>
      <c r="F748" s="35" t="n">
        <v>0</v>
      </c>
      <c r="G748" s="35" t="n">
        <v>0</v>
      </c>
      <c r="H748" s="35" t="n">
        <v>0</v>
      </c>
      <c r="I748" s="35" t="n">
        <v>0</v>
      </c>
      <c r="J748" s="35" t="n">
        <v>0</v>
      </c>
      <c r="K748" s="35" t="n">
        <v>0</v>
      </c>
      <c r="L748" s="35" t="n">
        <v>1</v>
      </c>
      <c r="M748" s="35" t="n">
        <v>0</v>
      </c>
      <c r="N748" s="35" t="n">
        <v>0</v>
      </c>
      <c r="O748" s="35" t="n">
        <v>0</v>
      </c>
      <c r="P748" s="35" t="n">
        <v>0</v>
      </c>
      <c r="Q748" s="35" t="n">
        <v>0</v>
      </c>
      <c r="R748" s="35" t="n">
        <v>1</v>
      </c>
      <c r="S748" s="35" t="n">
        <v>0</v>
      </c>
      <c r="T748" s="35" t="n">
        <v>0</v>
      </c>
      <c r="U748" s="35" t="n">
        <v>0</v>
      </c>
      <c r="V748" s="35" t="n">
        <v>1</v>
      </c>
      <c r="W748" s="35" t="n">
        <v>0</v>
      </c>
      <c r="X748" s="35" t="n">
        <v>0</v>
      </c>
      <c r="Y748" s="35" t="n">
        <v>0</v>
      </c>
      <c r="Z748" s="35" t="n">
        <v>0</v>
      </c>
      <c r="AA748" s="35" t="n">
        <v>0</v>
      </c>
      <c r="AB748" s="35" t="n">
        <v>0</v>
      </c>
      <c r="AC748" s="33" t="s">
        <v>849</v>
      </c>
      <c r="AD748" s="36" t="n">
        <f aca="false">B748-B747</f>
        <v>0.125</v>
      </c>
    </row>
    <row r="749" customFormat="false" ht="15" hidden="false" customHeight="false" outlineLevel="0" collapsed="false">
      <c r="A749" s="30" t="n">
        <v>746</v>
      </c>
      <c r="B749" s="31" t="n">
        <f aca="false">Summary!$B$5+IF(D749=1,0,IF(C749=1,Summary!$B$6,NA()))+(MATCH(1,E749:L749,0)-1)*Summary!$B$7+(MATCH(1,M749:T749,0)-1)*Summary!$B$8+(MATCH(1,U749:AB749,0)-1)*Summary!$B$9</f>
        <v>123.25</v>
      </c>
      <c r="C749" s="32" t="n">
        <v>1</v>
      </c>
      <c r="D749" s="32" t="n">
        <v>0</v>
      </c>
      <c r="E749" s="32" t="n">
        <v>0</v>
      </c>
      <c r="F749" s="32" t="n">
        <v>0</v>
      </c>
      <c r="G749" s="32" t="n">
        <v>0</v>
      </c>
      <c r="H749" s="32" t="n">
        <v>0</v>
      </c>
      <c r="I749" s="32" t="n">
        <v>0</v>
      </c>
      <c r="J749" s="32" t="n">
        <v>0</v>
      </c>
      <c r="K749" s="32" t="n">
        <v>0</v>
      </c>
      <c r="L749" s="32" t="n">
        <v>1</v>
      </c>
      <c r="M749" s="32" t="n">
        <v>0</v>
      </c>
      <c r="N749" s="32" t="n">
        <v>0</v>
      </c>
      <c r="O749" s="32" t="n">
        <v>0</v>
      </c>
      <c r="P749" s="32" t="n">
        <v>0</v>
      </c>
      <c r="Q749" s="32" t="n">
        <v>0</v>
      </c>
      <c r="R749" s="32" t="n">
        <v>1</v>
      </c>
      <c r="S749" s="32" t="n">
        <v>0</v>
      </c>
      <c r="T749" s="32" t="n">
        <v>0</v>
      </c>
      <c r="U749" s="32" t="n">
        <v>0</v>
      </c>
      <c r="V749" s="32" t="n">
        <v>0</v>
      </c>
      <c r="W749" s="32" t="n">
        <v>1</v>
      </c>
      <c r="X749" s="32" t="n">
        <v>0</v>
      </c>
      <c r="Y749" s="32" t="n">
        <v>0</v>
      </c>
      <c r="Z749" s="32" t="n">
        <v>0</v>
      </c>
      <c r="AA749" s="32" t="n">
        <v>0</v>
      </c>
      <c r="AB749" s="32" t="n">
        <v>0</v>
      </c>
      <c r="AC749" s="30" t="s">
        <v>850</v>
      </c>
      <c r="AD749" s="37" t="n">
        <f aca="false">B749-B748</f>
        <v>0.125</v>
      </c>
    </row>
    <row r="750" customFormat="false" ht="15" hidden="false" customHeight="false" outlineLevel="0" collapsed="false">
      <c r="A750" s="33" t="n">
        <v>747</v>
      </c>
      <c r="B750" s="34" t="n">
        <f aca="false">Summary!$B$5+IF(D750=1,0,IF(C750=1,Summary!$B$6,NA()))+(MATCH(1,E750:L750,0)-1)*Summary!$B$7+(MATCH(1,M750:T750,0)-1)*Summary!$B$8+(MATCH(1,U750:AB750,0)-1)*Summary!$B$9</f>
        <v>123.375</v>
      </c>
      <c r="C750" s="35" t="n">
        <v>1</v>
      </c>
      <c r="D750" s="35" t="n">
        <v>0</v>
      </c>
      <c r="E750" s="35" t="n">
        <v>0</v>
      </c>
      <c r="F750" s="35" t="n">
        <v>0</v>
      </c>
      <c r="G750" s="35" t="n">
        <v>0</v>
      </c>
      <c r="H750" s="35" t="n">
        <v>0</v>
      </c>
      <c r="I750" s="35" t="n">
        <v>0</v>
      </c>
      <c r="J750" s="35" t="n">
        <v>0</v>
      </c>
      <c r="K750" s="35" t="n">
        <v>0</v>
      </c>
      <c r="L750" s="35" t="n">
        <v>1</v>
      </c>
      <c r="M750" s="35" t="n">
        <v>0</v>
      </c>
      <c r="N750" s="35" t="n">
        <v>0</v>
      </c>
      <c r="O750" s="35" t="n">
        <v>0</v>
      </c>
      <c r="P750" s="35" t="n">
        <v>0</v>
      </c>
      <c r="Q750" s="35" t="n">
        <v>0</v>
      </c>
      <c r="R750" s="35" t="n">
        <v>1</v>
      </c>
      <c r="S750" s="35" t="n">
        <v>0</v>
      </c>
      <c r="T750" s="35" t="n">
        <v>0</v>
      </c>
      <c r="U750" s="35" t="n">
        <v>0</v>
      </c>
      <c r="V750" s="35" t="n">
        <v>0</v>
      </c>
      <c r="W750" s="35" t="n">
        <v>0</v>
      </c>
      <c r="X750" s="35" t="n">
        <v>1</v>
      </c>
      <c r="Y750" s="35" t="n">
        <v>0</v>
      </c>
      <c r="Z750" s="35" t="n">
        <v>0</v>
      </c>
      <c r="AA750" s="35" t="n">
        <v>0</v>
      </c>
      <c r="AB750" s="35" t="n">
        <v>0</v>
      </c>
      <c r="AC750" s="33" t="s">
        <v>851</v>
      </c>
      <c r="AD750" s="36" t="n">
        <f aca="false">B750-B749</f>
        <v>0.125</v>
      </c>
    </row>
    <row r="751" customFormat="false" ht="15" hidden="false" customHeight="false" outlineLevel="0" collapsed="false">
      <c r="A751" s="30" t="n">
        <v>748</v>
      </c>
      <c r="B751" s="31" t="n">
        <f aca="false">Summary!$B$5+IF(D751=1,0,IF(C751=1,Summary!$B$6,NA()))+(MATCH(1,E751:L751,0)-1)*Summary!$B$7+(MATCH(1,M751:T751,0)-1)*Summary!$B$8+(MATCH(1,U751:AB751,0)-1)*Summary!$B$9</f>
        <v>123.5</v>
      </c>
      <c r="C751" s="32" t="n">
        <v>1</v>
      </c>
      <c r="D751" s="32" t="n">
        <v>0</v>
      </c>
      <c r="E751" s="32" t="n">
        <v>0</v>
      </c>
      <c r="F751" s="32" t="n">
        <v>0</v>
      </c>
      <c r="G751" s="32" t="n">
        <v>0</v>
      </c>
      <c r="H751" s="32" t="n">
        <v>0</v>
      </c>
      <c r="I751" s="32" t="n">
        <v>0</v>
      </c>
      <c r="J751" s="32" t="n">
        <v>0</v>
      </c>
      <c r="K751" s="32" t="n">
        <v>0</v>
      </c>
      <c r="L751" s="32" t="n">
        <v>1</v>
      </c>
      <c r="M751" s="32" t="n">
        <v>0</v>
      </c>
      <c r="N751" s="32" t="n">
        <v>0</v>
      </c>
      <c r="O751" s="32" t="n">
        <v>0</v>
      </c>
      <c r="P751" s="32" t="n">
        <v>0</v>
      </c>
      <c r="Q751" s="32" t="n">
        <v>0</v>
      </c>
      <c r="R751" s="32" t="n">
        <v>1</v>
      </c>
      <c r="S751" s="32" t="n">
        <v>0</v>
      </c>
      <c r="T751" s="32" t="n">
        <v>0</v>
      </c>
      <c r="U751" s="32" t="n">
        <v>0</v>
      </c>
      <c r="V751" s="32" t="n">
        <v>0</v>
      </c>
      <c r="W751" s="32" t="n">
        <v>0</v>
      </c>
      <c r="X751" s="32" t="n">
        <v>0</v>
      </c>
      <c r="Y751" s="32" t="n">
        <v>1</v>
      </c>
      <c r="Z751" s="32" t="n">
        <v>0</v>
      </c>
      <c r="AA751" s="32" t="n">
        <v>0</v>
      </c>
      <c r="AB751" s="32" t="n">
        <v>0</v>
      </c>
      <c r="AC751" s="30" t="s">
        <v>852</v>
      </c>
      <c r="AD751" s="37" t="n">
        <f aca="false">B751-B750</f>
        <v>0.125</v>
      </c>
    </row>
    <row r="752" customFormat="false" ht="15" hidden="false" customHeight="false" outlineLevel="0" collapsed="false">
      <c r="A752" s="33" t="n">
        <v>749</v>
      </c>
      <c r="B752" s="34" t="n">
        <f aca="false">Summary!$B$5+IF(D752=1,0,IF(C752=1,Summary!$B$6,NA()))+(MATCH(1,E752:L752,0)-1)*Summary!$B$7+(MATCH(1,M752:T752,0)-1)*Summary!$B$8+(MATCH(1,U752:AB752,0)-1)*Summary!$B$9</f>
        <v>123.625</v>
      </c>
      <c r="C752" s="35" t="n">
        <v>1</v>
      </c>
      <c r="D752" s="35" t="n">
        <v>0</v>
      </c>
      <c r="E752" s="35" t="n">
        <v>0</v>
      </c>
      <c r="F752" s="35" t="n">
        <v>0</v>
      </c>
      <c r="G752" s="35" t="n">
        <v>0</v>
      </c>
      <c r="H752" s="35" t="n">
        <v>0</v>
      </c>
      <c r="I752" s="35" t="n">
        <v>0</v>
      </c>
      <c r="J752" s="35" t="n">
        <v>0</v>
      </c>
      <c r="K752" s="35" t="n">
        <v>0</v>
      </c>
      <c r="L752" s="35" t="n">
        <v>1</v>
      </c>
      <c r="M752" s="35" t="n">
        <v>0</v>
      </c>
      <c r="N752" s="35" t="n">
        <v>0</v>
      </c>
      <c r="O752" s="35" t="n">
        <v>0</v>
      </c>
      <c r="P752" s="35" t="n">
        <v>0</v>
      </c>
      <c r="Q752" s="35" t="n">
        <v>0</v>
      </c>
      <c r="R752" s="35" t="n">
        <v>1</v>
      </c>
      <c r="S752" s="35" t="n">
        <v>0</v>
      </c>
      <c r="T752" s="35" t="n">
        <v>0</v>
      </c>
      <c r="U752" s="35" t="n">
        <v>0</v>
      </c>
      <c r="V752" s="35" t="n">
        <v>0</v>
      </c>
      <c r="W752" s="35" t="n">
        <v>0</v>
      </c>
      <c r="X752" s="35" t="n">
        <v>0</v>
      </c>
      <c r="Y752" s="35" t="n">
        <v>0</v>
      </c>
      <c r="Z752" s="35" t="n">
        <v>1</v>
      </c>
      <c r="AA752" s="35" t="n">
        <v>0</v>
      </c>
      <c r="AB752" s="35" t="n">
        <v>0</v>
      </c>
      <c r="AC752" s="33" t="s">
        <v>853</v>
      </c>
      <c r="AD752" s="36" t="n">
        <f aca="false">B752-B751</f>
        <v>0.125</v>
      </c>
    </row>
    <row r="753" customFormat="false" ht="15" hidden="false" customHeight="false" outlineLevel="0" collapsed="false">
      <c r="A753" s="30" t="n">
        <v>750</v>
      </c>
      <c r="B753" s="31" t="n">
        <f aca="false">Summary!$B$5+IF(D753=1,0,IF(C753=1,Summary!$B$6,NA()))+(MATCH(1,E753:L753,0)-1)*Summary!$B$7+(MATCH(1,M753:T753,0)-1)*Summary!$B$8+(MATCH(1,U753:AB753,0)-1)*Summary!$B$9</f>
        <v>123.75</v>
      </c>
      <c r="C753" s="32" t="n">
        <v>1</v>
      </c>
      <c r="D753" s="32" t="n">
        <v>0</v>
      </c>
      <c r="E753" s="32" t="n">
        <v>0</v>
      </c>
      <c r="F753" s="32" t="n">
        <v>0</v>
      </c>
      <c r="G753" s="32" t="n">
        <v>0</v>
      </c>
      <c r="H753" s="32" t="n">
        <v>0</v>
      </c>
      <c r="I753" s="32" t="n">
        <v>0</v>
      </c>
      <c r="J753" s="32" t="n">
        <v>0</v>
      </c>
      <c r="K753" s="32" t="n">
        <v>0</v>
      </c>
      <c r="L753" s="32" t="n">
        <v>1</v>
      </c>
      <c r="M753" s="32" t="n">
        <v>0</v>
      </c>
      <c r="N753" s="32" t="n">
        <v>0</v>
      </c>
      <c r="O753" s="32" t="n">
        <v>0</v>
      </c>
      <c r="P753" s="32" t="n">
        <v>0</v>
      </c>
      <c r="Q753" s="32" t="n">
        <v>0</v>
      </c>
      <c r="R753" s="32" t="n">
        <v>1</v>
      </c>
      <c r="S753" s="32" t="n">
        <v>0</v>
      </c>
      <c r="T753" s="32" t="n">
        <v>0</v>
      </c>
      <c r="U753" s="32" t="n">
        <v>0</v>
      </c>
      <c r="V753" s="32" t="n">
        <v>0</v>
      </c>
      <c r="W753" s="32" t="n">
        <v>0</v>
      </c>
      <c r="X753" s="32" t="n">
        <v>0</v>
      </c>
      <c r="Y753" s="32" t="n">
        <v>0</v>
      </c>
      <c r="Z753" s="32" t="n">
        <v>0</v>
      </c>
      <c r="AA753" s="32" t="n">
        <v>1</v>
      </c>
      <c r="AB753" s="32" t="n">
        <v>0</v>
      </c>
      <c r="AC753" s="30" t="s">
        <v>854</v>
      </c>
      <c r="AD753" s="37" t="n">
        <f aca="false">B753-B752</f>
        <v>0.125</v>
      </c>
    </row>
    <row r="754" customFormat="false" ht="15" hidden="false" customHeight="false" outlineLevel="0" collapsed="false">
      <c r="A754" s="33" t="n">
        <v>751</v>
      </c>
      <c r="B754" s="34" t="n">
        <f aca="false">Summary!$B$5+IF(D754=1,0,IF(C754=1,Summary!$B$6,NA()))+(MATCH(1,E754:L754,0)-1)*Summary!$B$7+(MATCH(1,M754:T754,0)-1)*Summary!$B$8+(MATCH(1,U754:AB754,0)-1)*Summary!$B$9</f>
        <v>123.875</v>
      </c>
      <c r="C754" s="35" t="n">
        <v>1</v>
      </c>
      <c r="D754" s="35" t="n">
        <v>0</v>
      </c>
      <c r="E754" s="35" t="n">
        <v>0</v>
      </c>
      <c r="F754" s="35" t="n">
        <v>0</v>
      </c>
      <c r="G754" s="35" t="n">
        <v>0</v>
      </c>
      <c r="H754" s="35" t="n">
        <v>0</v>
      </c>
      <c r="I754" s="35" t="n">
        <v>0</v>
      </c>
      <c r="J754" s="35" t="n">
        <v>0</v>
      </c>
      <c r="K754" s="35" t="n">
        <v>0</v>
      </c>
      <c r="L754" s="35" t="n">
        <v>1</v>
      </c>
      <c r="M754" s="35" t="n">
        <v>0</v>
      </c>
      <c r="N754" s="35" t="n">
        <v>0</v>
      </c>
      <c r="O754" s="35" t="n">
        <v>0</v>
      </c>
      <c r="P754" s="35" t="n">
        <v>0</v>
      </c>
      <c r="Q754" s="35" t="n">
        <v>0</v>
      </c>
      <c r="R754" s="35" t="n">
        <v>1</v>
      </c>
      <c r="S754" s="35" t="n">
        <v>0</v>
      </c>
      <c r="T754" s="35" t="n">
        <v>0</v>
      </c>
      <c r="U754" s="35" t="n">
        <v>0</v>
      </c>
      <c r="V754" s="35" t="n">
        <v>0</v>
      </c>
      <c r="W754" s="35" t="n">
        <v>0</v>
      </c>
      <c r="X754" s="35" t="n">
        <v>0</v>
      </c>
      <c r="Y754" s="35" t="n">
        <v>0</v>
      </c>
      <c r="Z754" s="35" t="n">
        <v>0</v>
      </c>
      <c r="AA754" s="35" t="n">
        <v>0</v>
      </c>
      <c r="AB754" s="35" t="n">
        <v>1</v>
      </c>
      <c r="AC754" s="33" t="s">
        <v>855</v>
      </c>
      <c r="AD754" s="36" t="n">
        <f aca="false">B754-B753</f>
        <v>0.125</v>
      </c>
    </row>
    <row r="755" customFormat="false" ht="15" hidden="false" customHeight="false" outlineLevel="0" collapsed="false">
      <c r="A755" s="30" t="n">
        <v>752</v>
      </c>
      <c r="B755" s="31" t="n">
        <f aca="false">Summary!$B$5+IF(D755=1,0,IF(C755=1,Summary!$B$6,NA()))+(MATCH(1,E755:L755,0)-1)*Summary!$B$7+(MATCH(1,M755:T755,0)-1)*Summary!$B$8+(MATCH(1,U755:AB755,0)-1)*Summary!$B$9</f>
        <v>124</v>
      </c>
      <c r="C755" s="32" t="n">
        <v>1</v>
      </c>
      <c r="D755" s="32" t="n">
        <v>0</v>
      </c>
      <c r="E755" s="32" t="n">
        <v>0</v>
      </c>
      <c r="F755" s="32" t="n">
        <v>0</v>
      </c>
      <c r="G755" s="32" t="n">
        <v>0</v>
      </c>
      <c r="H755" s="32" t="n">
        <v>0</v>
      </c>
      <c r="I755" s="32" t="n">
        <v>0</v>
      </c>
      <c r="J755" s="32" t="n">
        <v>0</v>
      </c>
      <c r="K755" s="32" t="n">
        <v>0</v>
      </c>
      <c r="L755" s="32" t="n">
        <v>1</v>
      </c>
      <c r="M755" s="32" t="n">
        <v>0</v>
      </c>
      <c r="N755" s="32" t="n">
        <v>0</v>
      </c>
      <c r="O755" s="32" t="n">
        <v>0</v>
      </c>
      <c r="P755" s="32" t="n">
        <v>0</v>
      </c>
      <c r="Q755" s="32" t="n">
        <v>0</v>
      </c>
      <c r="R755" s="32" t="n">
        <v>0</v>
      </c>
      <c r="S755" s="32" t="n">
        <v>1</v>
      </c>
      <c r="T755" s="32" t="n">
        <v>0</v>
      </c>
      <c r="U755" s="32" t="n">
        <v>1</v>
      </c>
      <c r="V755" s="32" t="n">
        <v>0</v>
      </c>
      <c r="W755" s="32" t="n">
        <v>0</v>
      </c>
      <c r="X755" s="32" t="n">
        <v>0</v>
      </c>
      <c r="Y755" s="32" t="n">
        <v>0</v>
      </c>
      <c r="Z755" s="32" t="n">
        <v>0</v>
      </c>
      <c r="AA755" s="32" t="n">
        <v>0</v>
      </c>
      <c r="AB755" s="32" t="n">
        <v>0</v>
      </c>
      <c r="AC755" s="30" t="s">
        <v>856</v>
      </c>
      <c r="AD755" s="37" t="n">
        <f aca="false">B755-B754</f>
        <v>0.125</v>
      </c>
    </row>
    <row r="756" customFormat="false" ht="15" hidden="false" customHeight="false" outlineLevel="0" collapsed="false">
      <c r="A756" s="33" t="n">
        <v>753</v>
      </c>
      <c r="B756" s="34" t="n">
        <f aca="false">Summary!$B$5+IF(D756=1,0,IF(C756=1,Summary!$B$6,NA()))+(MATCH(1,E756:L756,0)-1)*Summary!$B$7+(MATCH(1,M756:T756,0)-1)*Summary!$B$8+(MATCH(1,U756:AB756,0)-1)*Summary!$B$9</f>
        <v>124.125</v>
      </c>
      <c r="C756" s="35" t="n">
        <v>1</v>
      </c>
      <c r="D756" s="35" t="n">
        <v>0</v>
      </c>
      <c r="E756" s="35" t="n">
        <v>0</v>
      </c>
      <c r="F756" s="35" t="n">
        <v>0</v>
      </c>
      <c r="G756" s="35" t="n">
        <v>0</v>
      </c>
      <c r="H756" s="35" t="n">
        <v>0</v>
      </c>
      <c r="I756" s="35" t="n">
        <v>0</v>
      </c>
      <c r="J756" s="35" t="n">
        <v>0</v>
      </c>
      <c r="K756" s="35" t="n">
        <v>0</v>
      </c>
      <c r="L756" s="35" t="n">
        <v>1</v>
      </c>
      <c r="M756" s="35" t="n">
        <v>0</v>
      </c>
      <c r="N756" s="35" t="n">
        <v>0</v>
      </c>
      <c r="O756" s="35" t="n">
        <v>0</v>
      </c>
      <c r="P756" s="35" t="n">
        <v>0</v>
      </c>
      <c r="Q756" s="35" t="n">
        <v>0</v>
      </c>
      <c r="R756" s="35" t="n">
        <v>0</v>
      </c>
      <c r="S756" s="35" t="n">
        <v>1</v>
      </c>
      <c r="T756" s="35" t="n">
        <v>0</v>
      </c>
      <c r="U756" s="35" t="n">
        <v>0</v>
      </c>
      <c r="V756" s="35" t="n">
        <v>1</v>
      </c>
      <c r="W756" s="35" t="n">
        <v>0</v>
      </c>
      <c r="X756" s="35" t="n">
        <v>0</v>
      </c>
      <c r="Y756" s="35" t="n">
        <v>0</v>
      </c>
      <c r="Z756" s="35" t="n">
        <v>0</v>
      </c>
      <c r="AA756" s="35" t="n">
        <v>0</v>
      </c>
      <c r="AB756" s="35" t="n">
        <v>0</v>
      </c>
      <c r="AC756" s="33" t="s">
        <v>857</v>
      </c>
      <c r="AD756" s="36" t="n">
        <f aca="false">B756-B755</f>
        <v>0.125</v>
      </c>
    </row>
    <row r="757" customFormat="false" ht="15" hidden="false" customHeight="false" outlineLevel="0" collapsed="false">
      <c r="A757" s="30" t="n">
        <v>754</v>
      </c>
      <c r="B757" s="31" t="n">
        <f aca="false">Summary!$B$5+IF(D757=1,0,IF(C757=1,Summary!$B$6,NA()))+(MATCH(1,E757:L757,0)-1)*Summary!$B$7+(MATCH(1,M757:T757,0)-1)*Summary!$B$8+(MATCH(1,U757:AB757,0)-1)*Summary!$B$9</f>
        <v>124.25</v>
      </c>
      <c r="C757" s="32" t="n">
        <v>1</v>
      </c>
      <c r="D757" s="32" t="n">
        <v>0</v>
      </c>
      <c r="E757" s="32" t="n">
        <v>0</v>
      </c>
      <c r="F757" s="32" t="n">
        <v>0</v>
      </c>
      <c r="G757" s="32" t="n">
        <v>0</v>
      </c>
      <c r="H757" s="32" t="n">
        <v>0</v>
      </c>
      <c r="I757" s="32" t="n">
        <v>0</v>
      </c>
      <c r="J757" s="32" t="n">
        <v>0</v>
      </c>
      <c r="K757" s="32" t="n">
        <v>0</v>
      </c>
      <c r="L757" s="32" t="n">
        <v>1</v>
      </c>
      <c r="M757" s="32" t="n">
        <v>0</v>
      </c>
      <c r="N757" s="32" t="n">
        <v>0</v>
      </c>
      <c r="O757" s="32" t="n">
        <v>0</v>
      </c>
      <c r="P757" s="32" t="n">
        <v>0</v>
      </c>
      <c r="Q757" s="32" t="n">
        <v>0</v>
      </c>
      <c r="R757" s="32" t="n">
        <v>0</v>
      </c>
      <c r="S757" s="32" t="n">
        <v>1</v>
      </c>
      <c r="T757" s="32" t="n">
        <v>0</v>
      </c>
      <c r="U757" s="32" t="n">
        <v>0</v>
      </c>
      <c r="V757" s="32" t="n">
        <v>0</v>
      </c>
      <c r="W757" s="32" t="n">
        <v>1</v>
      </c>
      <c r="X757" s="32" t="n">
        <v>0</v>
      </c>
      <c r="Y757" s="32" t="n">
        <v>0</v>
      </c>
      <c r="Z757" s="32" t="n">
        <v>0</v>
      </c>
      <c r="AA757" s="32" t="n">
        <v>0</v>
      </c>
      <c r="AB757" s="32" t="n">
        <v>0</v>
      </c>
      <c r="AC757" s="30" t="s">
        <v>858</v>
      </c>
      <c r="AD757" s="37" t="n">
        <f aca="false">B757-B756</f>
        <v>0.125</v>
      </c>
    </row>
    <row r="758" customFormat="false" ht="15" hidden="false" customHeight="false" outlineLevel="0" collapsed="false">
      <c r="A758" s="33" t="n">
        <v>755</v>
      </c>
      <c r="B758" s="34" t="n">
        <f aca="false">Summary!$B$5+IF(D758=1,0,IF(C758=1,Summary!$B$6,NA()))+(MATCH(1,E758:L758,0)-1)*Summary!$B$7+(MATCH(1,M758:T758,0)-1)*Summary!$B$8+(MATCH(1,U758:AB758,0)-1)*Summary!$B$9</f>
        <v>124.375</v>
      </c>
      <c r="C758" s="35" t="n">
        <v>1</v>
      </c>
      <c r="D758" s="35" t="n">
        <v>0</v>
      </c>
      <c r="E758" s="35" t="n">
        <v>0</v>
      </c>
      <c r="F758" s="35" t="n">
        <v>0</v>
      </c>
      <c r="G758" s="35" t="n">
        <v>0</v>
      </c>
      <c r="H758" s="35" t="n">
        <v>0</v>
      </c>
      <c r="I758" s="35" t="n">
        <v>0</v>
      </c>
      <c r="J758" s="35" t="n">
        <v>0</v>
      </c>
      <c r="K758" s="35" t="n">
        <v>0</v>
      </c>
      <c r="L758" s="35" t="n">
        <v>1</v>
      </c>
      <c r="M758" s="35" t="n">
        <v>0</v>
      </c>
      <c r="N758" s="35" t="n">
        <v>0</v>
      </c>
      <c r="O758" s="35" t="n">
        <v>0</v>
      </c>
      <c r="P758" s="35" t="n">
        <v>0</v>
      </c>
      <c r="Q758" s="35" t="n">
        <v>0</v>
      </c>
      <c r="R758" s="35" t="n">
        <v>0</v>
      </c>
      <c r="S758" s="35" t="n">
        <v>1</v>
      </c>
      <c r="T758" s="35" t="n">
        <v>0</v>
      </c>
      <c r="U758" s="35" t="n">
        <v>0</v>
      </c>
      <c r="V758" s="35" t="n">
        <v>0</v>
      </c>
      <c r="W758" s="35" t="n">
        <v>0</v>
      </c>
      <c r="X758" s="35" t="n">
        <v>1</v>
      </c>
      <c r="Y758" s="35" t="n">
        <v>0</v>
      </c>
      <c r="Z758" s="35" t="n">
        <v>0</v>
      </c>
      <c r="AA758" s="35" t="n">
        <v>0</v>
      </c>
      <c r="AB758" s="35" t="n">
        <v>0</v>
      </c>
      <c r="AC758" s="33" t="s">
        <v>859</v>
      </c>
      <c r="AD758" s="36" t="n">
        <f aca="false">B758-B757</f>
        <v>0.125</v>
      </c>
    </row>
    <row r="759" customFormat="false" ht="15" hidden="false" customHeight="false" outlineLevel="0" collapsed="false">
      <c r="A759" s="30" t="n">
        <v>756</v>
      </c>
      <c r="B759" s="31" t="n">
        <f aca="false">Summary!$B$5+IF(D759=1,0,IF(C759=1,Summary!$B$6,NA()))+(MATCH(1,E759:L759,0)-1)*Summary!$B$7+(MATCH(1,M759:T759,0)-1)*Summary!$B$8+(MATCH(1,U759:AB759,0)-1)*Summary!$B$9</f>
        <v>124.5</v>
      </c>
      <c r="C759" s="32" t="n">
        <v>1</v>
      </c>
      <c r="D759" s="32" t="n">
        <v>0</v>
      </c>
      <c r="E759" s="32" t="n">
        <v>0</v>
      </c>
      <c r="F759" s="32" t="n">
        <v>0</v>
      </c>
      <c r="G759" s="32" t="n">
        <v>0</v>
      </c>
      <c r="H759" s="32" t="n">
        <v>0</v>
      </c>
      <c r="I759" s="32" t="n">
        <v>0</v>
      </c>
      <c r="J759" s="32" t="n">
        <v>0</v>
      </c>
      <c r="K759" s="32" t="n">
        <v>0</v>
      </c>
      <c r="L759" s="32" t="n">
        <v>1</v>
      </c>
      <c r="M759" s="32" t="n">
        <v>0</v>
      </c>
      <c r="N759" s="32" t="n">
        <v>0</v>
      </c>
      <c r="O759" s="32" t="n">
        <v>0</v>
      </c>
      <c r="P759" s="32" t="n">
        <v>0</v>
      </c>
      <c r="Q759" s="32" t="n">
        <v>0</v>
      </c>
      <c r="R759" s="32" t="n">
        <v>0</v>
      </c>
      <c r="S759" s="32" t="n">
        <v>1</v>
      </c>
      <c r="T759" s="32" t="n">
        <v>0</v>
      </c>
      <c r="U759" s="32" t="n">
        <v>0</v>
      </c>
      <c r="V759" s="32" t="n">
        <v>0</v>
      </c>
      <c r="W759" s="32" t="n">
        <v>0</v>
      </c>
      <c r="X759" s="32" t="n">
        <v>0</v>
      </c>
      <c r="Y759" s="32" t="n">
        <v>1</v>
      </c>
      <c r="Z759" s="32" t="n">
        <v>0</v>
      </c>
      <c r="AA759" s="32" t="n">
        <v>0</v>
      </c>
      <c r="AB759" s="32" t="n">
        <v>0</v>
      </c>
      <c r="AC759" s="30" t="s">
        <v>860</v>
      </c>
      <c r="AD759" s="37" t="n">
        <f aca="false">B759-B758</f>
        <v>0.125</v>
      </c>
    </row>
    <row r="760" customFormat="false" ht="15" hidden="false" customHeight="false" outlineLevel="0" collapsed="false">
      <c r="A760" s="33" t="n">
        <v>757</v>
      </c>
      <c r="B760" s="34" t="n">
        <f aca="false">Summary!$B$5+IF(D760=1,0,IF(C760=1,Summary!$B$6,NA()))+(MATCH(1,E760:L760,0)-1)*Summary!$B$7+(MATCH(1,M760:T760,0)-1)*Summary!$B$8+(MATCH(1,U760:AB760,0)-1)*Summary!$B$9</f>
        <v>124.625</v>
      </c>
      <c r="C760" s="35" t="n">
        <v>1</v>
      </c>
      <c r="D760" s="35" t="n">
        <v>0</v>
      </c>
      <c r="E760" s="35" t="n">
        <v>0</v>
      </c>
      <c r="F760" s="35" t="n">
        <v>0</v>
      </c>
      <c r="G760" s="35" t="n">
        <v>0</v>
      </c>
      <c r="H760" s="35" t="n">
        <v>0</v>
      </c>
      <c r="I760" s="35" t="n">
        <v>0</v>
      </c>
      <c r="J760" s="35" t="n">
        <v>0</v>
      </c>
      <c r="K760" s="35" t="n">
        <v>0</v>
      </c>
      <c r="L760" s="35" t="n">
        <v>1</v>
      </c>
      <c r="M760" s="35" t="n">
        <v>0</v>
      </c>
      <c r="N760" s="35" t="n">
        <v>0</v>
      </c>
      <c r="O760" s="35" t="n">
        <v>0</v>
      </c>
      <c r="P760" s="35" t="n">
        <v>0</v>
      </c>
      <c r="Q760" s="35" t="n">
        <v>0</v>
      </c>
      <c r="R760" s="35" t="n">
        <v>0</v>
      </c>
      <c r="S760" s="35" t="n">
        <v>1</v>
      </c>
      <c r="T760" s="35" t="n">
        <v>0</v>
      </c>
      <c r="U760" s="35" t="n">
        <v>0</v>
      </c>
      <c r="V760" s="35" t="n">
        <v>0</v>
      </c>
      <c r="W760" s="35" t="n">
        <v>0</v>
      </c>
      <c r="X760" s="35" t="n">
        <v>0</v>
      </c>
      <c r="Y760" s="35" t="n">
        <v>0</v>
      </c>
      <c r="Z760" s="35" t="n">
        <v>1</v>
      </c>
      <c r="AA760" s="35" t="n">
        <v>0</v>
      </c>
      <c r="AB760" s="35" t="n">
        <v>0</v>
      </c>
      <c r="AC760" s="33" t="s">
        <v>861</v>
      </c>
      <c r="AD760" s="36" t="n">
        <f aca="false">B760-B759</f>
        <v>0.125</v>
      </c>
    </row>
    <row r="761" customFormat="false" ht="15" hidden="false" customHeight="false" outlineLevel="0" collapsed="false">
      <c r="A761" s="30" t="n">
        <v>758</v>
      </c>
      <c r="B761" s="31" t="n">
        <f aca="false">Summary!$B$5+IF(D761=1,0,IF(C761=1,Summary!$B$6,NA()))+(MATCH(1,E761:L761,0)-1)*Summary!$B$7+(MATCH(1,M761:T761,0)-1)*Summary!$B$8+(MATCH(1,U761:AB761,0)-1)*Summary!$B$9</f>
        <v>124.75</v>
      </c>
      <c r="C761" s="32" t="n">
        <v>1</v>
      </c>
      <c r="D761" s="32" t="n">
        <v>0</v>
      </c>
      <c r="E761" s="32" t="n">
        <v>0</v>
      </c>
      <c r="F761" s="32" t="n">
        <v>0</v>
      </c>
      <c r="G761" s="32" t="n">
        <v>0</v>
      </c>
      <c r="H761" s="32" t="n">
        <v>0</v>
      </c>
      <c r="I761" s="32" t="n">
        <v>0</v>
      </c>
      <c r="J761" s="32" t="n">
        <v>0</v>
      </c>
      <c r="K761" s="32" t="n">
        <v>0</v>
      </c>
      <c r="L761" s="32" t="n">
        <v>1</v>
      </c>
      <c r="M761" s="32" t="n">
        <v>0</v>
      </c>
      <c r="N761" s="32" t="n">
        <v>0</v>
      </c>
      <c r="O761" s="32" t="n">
        <v>0</v>
      </c>
      <c r="P761" s="32" t="n">
        <v>0</v>
      </c>
      <c r="Q761" s="32" t="n">
        <v>0</v>
      </c>
      <c r="R761" s="32" t="n">
        <v>0</v>
      </c>
      <c r="S761" s="32" t="n">
        <v>1</v>
      </c>
      <c r="T761" s="32" t="n">
        <v>0</v>
      </c>
      <c r="U761" s="32" t="n">
        <v>0</v>
      </c>
      <c r="V761" s="32" t="n">
        <v>0</v>
      </c>
      <c r="W761" s="32" t="n">
        <v>0</v>
      </c>
      <c r="X761" s="32" t="n">
        <v>0</v>
      </c>
      <c r="Y761" s="32" t="n">
        <v>0</v>
      </c>
      <c r="Z761" s="32" t="n">
        <v>0</v>
      </c>
      <c r="AA761" s="32" t="n">
        <v>1</v>
      </c>
      <c r="AB761" s="32" t="n">
        <v>0</v>
      </c>
      <c r="AC761" s="30" t="s">
        <v>862</v>
      </c>
      <c r="AD761" s="37" t="n">
        <f aca="false">B761-B760</f>
        <v>0.125</v>
      </c>
    </row>
    <row r="762" customFormat="false" ht="15" hidden="false" customHeight="false" outlineLevel="0" collapsed="false">
      <c r="A762" s="33" t="n">
        <v>759</v>
      </c>
      <c r="B762" s="34" t="n">
        <f aca="false">Summary!$B$5+IF(D762=1,0,IF(C762=1,Summary!$B$6,NA()))+(MATCH(1,E762:L762,0)-1)*Summary!$B$7+(MATCH(1,M762:T762,0)-1)*Summary!$B$8+(MATCH(1,U762:AB762,0)-1)*Summary!$B$9</f>
        <v>124.875</v>
      </c>
      <c r="C762" s="35" t="n">
        <v>1</v>
      </c>
      <c r="D762" s="35" t="n">
        <v>0</v>
      </c>
      <c r="E762" s="35" t="n">
        <v>0</v>
      </c>
      <c r="F762" s="35" t="n">
        <v>0</v>
      </c>
      <c r="G762" s="35" t="n">
        <v>0</v>
      </c>
      <c r="H762" s="35" t="n">
        <v>0</v>
      </c>
      <c r="I762" s="35" t="n">
        <v>0</v>
      </c>
      <c r="J762" s="35" t="n">
        <v>0</v>
      </c>
      <c r="K762" s="35" t="n">
        <v>0</v>
      </c>
      <c r="L762" s="35" t="n">
        <v>1</v>
      </c>
      <c r="M762" s="35" t="n">
        <v>0</v>
      </c>
      <c r="N762" s="35" t="n">
        <v>0</v>
      </c>
      <c r="O762" s="35" t="n">
        <v>0</v>
      </c>
      <c r="P762" s="35" t="n">
        <v>0</v>
      </c>
      <c r="Q762" s="35" t="n">
        <v>0</v>
      </c>
      <c r="R762" s="35" t="n">
        <v>0</v>
      </c>
      <c r="S762" s="35" t="n">
        <v>1</v>
      </c>
      <c r="T762" s="35" t="n">
        <v>0</v>
      </c>
      <c r="U762" s="35" t="n">
        <v>0</v>
      </c>
      <c r="V762" s="35" t="n">
        <v>0</v>
      </c>
      <c r="W762" s="35" t="n">
        <v>0</v>
      </c>
      <c r="X762" s="35" t="n">
        <v>0</v>
      </c>
      <c r="Y762" s="35" t="n">
        <v>0</v>
      </c>
      <c r="Z762" s="35" t="n">
        <v>0</v>
      </c>
      <c r="AA762" s="35" t="n">
        <v>0</v>
      </c>
      <c r="AB762" s="35" t="n">
        <v>1</v>
      </c>
      <c r="AC762" s="33" t="s">
        <v>863</v>
      </c>
      <c r="AD762" s="36" t="n">
        <f aca="false">B762-B761</f>
        <v>0.125</v>
      </c>
    </row>
    <row r="763" customFormat="false" ht="15" hidden="false" customHeight="false" outlineLevel="0" collapsed="false">
      <c r="A763" s="30" t="n">
        <v>760</v>
      </c>
      <c r="B763" s="31" t="n">
        <f aca="false">Summary!$B$5+IF(D763=1,0,IF(C763=1,Summary!$B$6,NA()))+(MATCH(1,E763:L763,0)-1)*Summary!$B$7+(MATCH(1,M763:T763,0)-1)*Summary!$B$8+(MATCH(1,U763:AB763,0)-1)*Summary!$B$9</f>
        <v>125</v>
      </c>
      <c r="C763" s="32" t="n">
        <v>1</v>
      </c>
      <c r="D763" s="32" t="n">
        <v>0</v>
      </c>
      <c r="E763" s="32" t="n">
        <v>0</v>
      </c>
      <c r="F763" s="32" t="n">
        <v>0</v>
      </c>
      <c r="G763" s="32" t="n">
        <v>0</v>
      </c>
      <c r="H763" s="32" t="n">
        <v>0</v>
      </c>
      <c r="I763" s="32" t="n">
        <v>0</v>
      </c>
      <c r="J763" s="32" t="n">
        <v>0</v>
      </c>
      <c r="K763" s="32" t="n">
        <v>0</v>
      </c>
      <c r="L763" s="32" t="n">
        <v>1</v>
      </c>
      <c r="M763" s="32" t="n">
        <v>0</v>
      </c>
      <c r="N763" s="32" t="n">
        <v>0</v>
      </c>
      <c r="O763" s="32" t="n">
        <v>0</v>
      </c>
      <c r="P763" s="32" t="n">
        <v>0</v>
      </c>
      <c r="Q763" s="32" t="n">
        <v>0</v>
      </c>
      <c r="R763" s="32" t="n">
        <v>0</v>
      </c>
      <c r="S763" s="32" t="n">
        <v>0</v>
      </c>
      <c r="T763" s="32" t="n">
        <v>1</v>
      </c>
      <c r="U763" s="32" t="n">
        <v>1</v>
      </c>
      <c r="V763" s="32" t="n">
        <v>0</v>
      </c>
      <c r="W763" s="32" t="n">
        <v>0</v>
      </c>
      <c r="X763" s="32" t="n">
        <v>0</v>
      </c>
      <c r="Y763" s="32" t="n">
        <v>0</v>
      </c>
      <c r="Z763" s="32" t="n">
        <v>0</v>
      </c>
      <c r="AA763" s="32" t="n">
        <v>0</v>
      </c>
      <c r="AB763" s="32" t="n">
        <v>0</v>
      </c>
      <c r="AC763" s="30" t="s">
        <v>864</v>
      </c>
      <c r="AD763" s="37" t="n">
        <f aca="false">B763-B762</f>
        <v>0.125</v>
      </c>
    </row>
    <row r="764" customFormat="false" ht="15" hidden="false" customHeight="false" outlineLevel="0" collapsed="false">
      <c r="A764" s="33" t="n">
        <v>761</v>
      </c>
      <c r="B764" s="34" t="n">
        <f aca="false">Summary!$B$5+IF(D764=1,0,IF(C764=1,Summary!$B$6,NA()))+(MATCH(1,E764:L764,0)-1)*Summary!$B$7+(MATCH(1,M764:T764,0)-1)*Summary!$B$8+(MATCH(1,U764:AB764,0)-1)*Summary!$B$9</f>
        <v>125.125</v>
      </c>
      <c r="C764" s="35" t="n">
        <v>1</v>
      </c>
      <c r="D764" s="35" t="n">
        <v>0</v>
      </c>
      <c r="E764" s="35" t="n">
        <v>0</v>
      </c>
      <c r="F764" s="35" t="n">
        <v>0</v>
      </c>
      <c r="G764" s="35" t="n">
        <v>0</v>
      </c>
      <c r="H764" s="35" t="n">
        <v>0</v>
      </c>
      <c r="I764" s="35" t="n">
        <v>0</v>
      </c>
      <c r="J764" s="35" t="n">
        <v>0</v>
      </c>
      <c r="K764" s="35" t="n">
        <v>0</v>
      </c>
      <c r="L764" s="35" t="n">
        <v>1</v>
      </c>
      <c r="M764" s="35" t="n">
        <v>0</v>
      </c>
      <c r="N764" s="35" t="n">
        <v>0</v>
      </c>
      <c r="O764" s="35" t="n">
        <v>0</v>
      </c>
      <c r="P764" s="35" t="n">
        <v>0</v>
      </c>
      <c r="Q764" s="35" t="n">
        <v>0</v>
      </c>
      <c r="R764" s="35" t="n">
        <v>0</v>
      </c>
      <c r="S764" s="35" t="n">
        <v>0</v>
      </c>
      <c r="T764" s="35" t="n">
        <v>1</v>
      </c>
      <c r="U764" s="35" t="n">
        <v>0</v>
      </c>
      <c r="V764" s="35" t="n">
        <v>1</v>
      </c>
      <c r="W764" s="35" t="n">
        <v>0</v>
      </c>
      <c r="X764" s="35" t="n">
        <v>0</v>
      </c>
      <c r="Y764" s="35" t="n">
        <v>0</v>
      </c>
      <c r="Z764" s="35" t="n">
        <v>0</v>
      </c>
      <c r="AA764" s="35" t="n">
        <v>0</v>
      </c>
      <c r="AB764" s="35" t="n">
        <v>0</v>
      </c>
      <c r="AC764" s="33" t="s">
        <v>865</v>
      </c>
      <c r="AD764" s="36" t="n">
        <f aca="false">B764-B763</f>
        <v>0.125</v>
      </c>
    </row>
    <row r="765" customFormat="false" ht="15" hidden="false" customHeight="false" outlineLevel="0" collapsed="false">
      <c r="A765" s="30" t="n">
        <v>762</v>
      </c>
      <c r="B765" s="31" t="n">
        <f aca="false">Summary!$B$5+IF(D765=1,0,IF(C765=1,Summary!$B$6,NA()))+(MATCH(1,E765:L765,0)-1)*Summary!$B$7+(MATCH(1,M765:T765,0)-1)*Summary!$B$8+(MATCH(1,U765:AB765,0)-1)*Summary!$B$9</f>
        <v>125.25</v>
      </c>
      <c r="C765" s="32" t="n">
        <v>1</v>
      </c>
      <c r="D765" s="32" t="n">
        <v>0</v>
      </c>
      <c r="E765" s="32" t="n">
        <v>0</v>
      </c>
      <c r="F765" s="32" t="n">
        <v>0</v>
      </c>
      <c r="G765" s="32" t="n">
        <v>0</v>
      </c>
      <c r="H765" s="32" t="n">
        <v>0</v>
      </c>
      <c r="I765" s="32" t="n">
        <v>0</v>
      </c>
      <c r="J765" s="32" t="n">
        <v>0</v>
      </c>
      <c r="K765" s="32" t="n">
        <v>0</v>
      </c>
      <c r="L765" s="32" t="n">
        <v>1</v>
      </c>
      <c r="M765" s="32" t="n">
        <v>0</v>
      </c>
      <c r="N765" s="32" t="n">
        <v>0</v>
      </c>
      <c r="O765" s="32" t="n">
        <v>0</v>
      </c>
      <c r="P765" s="32" t="n">
        <v>0</v>
      </c>
      <c r="Q765" s="32" t="n">
        <v>0</v>
      </c>
      <c r="R765" s="32" t="n">
        <v>0</v>
      </c>
      <c r="S765" s="32" t="n">
        <v>0</v>
      </c>
      <c r="T765" s="32" t="n">
        <v>1</v>
      </c>
      <c r="U765" s="32" t="n">
        <v>0</v>
      </c>
      <c r="V765" s="32" t="n">
        <v>0</v>
      </c>
      <c r="W765" s="32" t="n">
        <v>1</v>
      </c>
      <c r="X765" s="32" t="n">
        <v>0</v>
      </c>
      <c r="Y765" s="32" t="n">
        <v>0</v>
      </c>
      <c r="Z765" s="32" t="n">
        <v>0</v>
      </c>
      <c r="AA765" s="32" t="n">
        <v>0</v>
      </c>
      <c r="AB765" s="32" t="n">
        <v>0</v>
      </c>
      <c r="AC765" s="30" t="s">
        <v>866</v>
      </c>
      <c r="AD765" s="37" t="n">
        <f aca="false">B765-B764</f>
        <v>0.125</v>
      </c>
    </row>
    <row r="766" customFormat="false" ht="15" hidden="false" customHeight="false" outlineLevel="0" collapsed="false">
      <c r="A766" s="33" t="n">
        <v>763</v>
      </c>
      <c r="B766" s="34" t="n">
        <f aca="false">Summary!$B$5+IF(D766=1,0,IF(C766=1,Summary!$B$6,NA()))+(MATCH(1,E766:L766,0)-1)*Summary!$B$7+(MATCH(1,M766:T766,0)-1)*Summary!$B$8+(MATCH(1,U766:AB766,0)-1)*Summary!$B$9</f>
        <v>125.375</v>
      </c>
      <c r="C766" s="35" t="n">
        <v>1</v>
      </c>
      <c r="D766" s="35" t="n">
        <v>0</v>
      </c>
      <c r="E766" s="35" t="n">
        <v>0</v>
      </c>
      <c r="F766" s="35" t="n">
        <v>0</v>
      </c>
      <c r="G766" s="35" t="n">
        <v>0</v>
      </c>
      <c r="H766" s="35" t="n">
        <v>0</v>
      </c>
      <c r="I766" s="35" t="n">
        <v>0</v>
      </c>
      <c r="J766" s="35" t="n">
        <v>0</v>
      </c>
      <c r="K766" s="35" t="n">
        <v>0</v>
      </c>
      <c r="L766" s="35" t="n">
        <v>1</v>
      </c>
      <c r="M766" s="35" t="n">
        <v>0</v>
      </c>
      <c r="N766" s="35" t="n">
        <v>0</v>
      </c>
      <c r="O766" s="35" t="n">
        <v>0</v>
      </c>
      <c r="P766" s="35" t="n">
        <v>0</v>
      </c>
      <c r="Q766" s="35" t="n">
        <v>0</v>
      </c>
      <c r="R766" s="35" t="n">
        <v>0</v>
      </c>
      <c r="S766" s="35" t="n">
        <v>0</v>
      </c>
      <c r="T766" s="35" t="n">
        <v>1</v>
      </c>
      <c r="U766" s="35" t="n">
        <v>0</v>
      </c>
      <c r="V766" s="35" t="n">
        <v>0</v>
      </c>
      <c r="W766" s="35" t="n">
        <v>0</v>
      </c>
      <c r="X766" s="35" t="n">
        <v>1</v>
      </c>
      <c r="Y766" s="35" t="n">
        <v>0</v>
      </c>
      <c r="Z766" s="35" t="n">
        <v>0</v>
      </c>
      <c r="AA766" s="35" t="n">
        <v>0</v>
      </c>
      <c r="AB766" s="35" t="n">
        <v>0</v>
      </c>
      <c r="AC766" s="33" t="s">
        <v>867</v>
      </c>
      <c r="AD766" s="36" t="n">
        <f aca="false">B766-B765</f>
        <v>0.125</v>
      </c>
    </row>
    <row r="767" customFormat="false" ht="15" hidden="false" customHeight="false" outlineLevel="0" collapsed="false">
      <c r="A767" s="30" t="n">
        <v>764</v>
      </c>
      <c r="B767" s="31" t="n">
        <f aca="false">Summary!$B$5+IF(D767=1,0,IF(C767=1,Summary!$B$6,NA()))+(MATCH(1,E767:L767,0)-1)*Summary!$B$7+(MATCH(1,M767:T767,0)-1)*Summary!$B$8+(MATCH(1,U767:AB767,0)-1)*Summary!$B$9</f>
        <v>125.5</v>
      </c>
      <c r="C767" s="32" t="n">
        <v>1</v>
      </c>
      <c r="D767" s="32" t="n">
        <v>0</v>
      </c>
      <c r="E767" s="32" t="n">
        <v>0</v>
      </c>
      <c r="F767" s="32" t="n">
        <v>0</v>
      </c>
      <c r="G767" s="32" t="n">
        <v>0</v>
      </c>
      <c r="H767" s="32" t="n">
        <v>0</v>
      </c>
      <c r="I767" s="32" t="n">
        <v>0</v>
      </c>
      <c r="J767" s="32" t="n">
        <v>0</v>
      </c>
      <c r="K767" s="32" t="n">
        <v>0</v>
      </c>
      <c r="L767" s="32" t="n">
        <v>1</v>
      </c>
      <c r="M767" s="32" t="n">
        <v>0</v>
      </c>
      <c r="N767" s="32" t="n">
        <v>0</v>
      </c>
      <c r="O767" s="32" t="n">
        <v>0</v>
      </c>
      <c r="P767" s="32" t="n">
        <v>0</v>
      </c>
      <c r="Q767" s="32" t="n">
        <v>0</v>
      </c>
      <c r="R767" s="32" t="n">
        <v>0</v>
      </c>
      <c r="S767" s="32" t="n">
        <v>0</v>
      </c>
      <c r="T767" s="32" t="n">
        <v>1</v>
      </c>
      <c r="U767" s="32" t="n">
        <v>0</v>
      </c>
      <c r="V767" s="32" t="n">
        <v>0</v>
      </c>
      <c r="W767" s="32" t="n">
        <v>0</v>
      </c>
      <c r="X767" s="32" t="n">
        <v>0</v>
      </c>
      <c r="Y767" s="32" t="n">
        <v>1</v>
      </c>
      <c r="Z767" s="32" t="n">
        <v>0</v>
      </c>
      <c r="AA767" s="32" t="n">
        <v>0</v>
      </c>
      <c r="AB767" s="32" t="n">
        <v>0</v>
      </c>
      <c r="AC767" s="30" t="s">
        <v>868</v>
      </c>
      <c r="AD767" s="37" t="n">
        <f aca="false">B767-B766</f>
        <v>0.125</v>
      </c>
    </row>
    <row r="768" customFormat="false" ht="15" hidden="false" customHeight="false" outlineLevel="0" collapsed="false">
      <c r="A768" s="33" t="n">
        <v>765</v>
      </c>
      <c r="B768" s="34" t="n">
        <f aca="false">Summary!$B$5+IF(D768=1,0,IF(C768=1,Summary!$B$6,NA()))+(MATCH(1,E768:L768,0)-1)*Summary!$B$7+(MATCH(1,M768:T768,0)-1)*Summary!$B$8+(MATCH(1,U768:AB768,0)-1)*Summary!$B$9</f>
        <v>125.625</v>
      </c>
      <c r="C768" s="35" t="n">
        <v>1</v>
      </c>
      <c r="D768" s="35" t="n">
        <v>0</v>
      </c>
      <c r="E768" s="35" t="n">
        <v>0</v>
      </c>
      <c r="F768" s="35" t="n">
        <v>0</v>
      </c>
      <c r="G768" s="35" t="n">
        <v>0</v>
      </c>
      <c r="H768" s="35" t="n">
        <v>0</v>
      </c>
      <c r="I768" s="35" t="n">
        <v>0</v>
      </c>
      <c r="J768" s="35" t="n">
        <v>0</v>
      </c>
      <c r="K768" s="35" t="n">
        <v>0</v>
      </c>
      <c r="L768" s="35" t="n">
        <v>1</v>
      </c>
      <c r="M768" s="35" t="n">
        <v>0</v>
      </c>
      <c r="N768" s="35" t="n">
        <v>0</v>
      </c>
      <c r="O768" s="35" t="n">
        <v>0</v>
      </c>
      <c r="P768" s="35" t="n">
        <v>0</v>
      </c>
      <c r="Q768" s="35" t="n">
        <v>0</v>
      </c>
      <c r="R768" s="35" t="n">
        <v>0</v>
      </c>
      <c r="S768" s="35" t="n">
        <v>0</v>
      </c>
      <c r="T768" s="35" t="n">
        <v>1</v>
      </c>
      <c r="U768" s="35" t="n">
        <v>0</v>
      </c>
      <c r="V768" s="35" t="n">
        <v>0</v>
      </c>
      <c r="W768" s="35" t="n">
        <v>0</v>
      </c>
      <c r="X768" s="35" t="n">
        <v>0</v>
      </c>
      <c r="Y768" s="35" t="n">
        <v>0</v>
      </c>
      <c r="Z768" s="35" t="n">
        <v>1</v>
      </c>
      <c r="AA768" s="35" t="n">
        <v>0</v>
      </c>
      <c r="AB768" s="35" t="n">
        <v>0</v>
      </c>
      <c r="AC768" s="33" t="s">
        <v>869</v>
      </c>
      <c r="AD768" s="36" t="n">
        <f aca="false">B768-B767</f>
        <v>0.125</v>
      </c>
    </row>
    <row r="769" customFormat="false" ht="15" hidden="false" customHeight="false" outlineLevel="0" collapsed="false">
      <c r="A769" s="30" t="n">
        <v>766</v>
      </c>
      <c r="B769" s="31" t="n">
        <f aca="false">Summary!$B$5+IF(D769=1,0,IF(C769=1,Summary!$B$6,NA()))+(MATCH(1,E769:L769,0)-1)*Summary!$B$7+(MATCH(1,M769:T769,0)-1)*Summary!$B$8+(MATCH(1,U769:AB769,0)-1)*Summary!$B$9</f>
        <v>125.75</v>
      </c>
      <c r="C769" s="32" t="n">
        <v>1</v>
      </c>
      <c r="D769" s="32" t="n">
        <v>0</v>
      </c>
      <c r="E769" s="32" t="n">
        <v>0</v>
      </c>
      <c r="F769" s="32" t="n">
        <v>0</v>
      </c>
      <c r="G769" s="32" t="n">
        <v>0</v>
      </c>
      <c r="H769" s="32" t="n">
        <v>0</v>
      </c>
      <c r="I769" s="32" t="n">
        <v>0</v>
      </c>
      <c r="J769" s="32" t="n">
        <v>0</v>
      </c>
      <c r="K769" s="32" t="n">
        <v>0</v>
      </c>
      <c r="L769" s="32" t="n">
        <v>1</v>
      </c>
      <c r="M769" s="32" t="n">
        <v>0</v>
      </c>
      <c r="N769" s="32" t="n">
        <v>0</v>
      </c>
      <c r="O769" s="32" t="n">
        <v>0</v>
      </c>
      <c r="P769" s="32" t="n">
        <v>0</v>
      </c>
      <c r="Q769" s="32" t="n">
        <v>0</v>
      </c>
      <c r="R769" s="32" t="n">
        <v>0</v>
      </c>
      <c r="S769" s="32" t="n">
        <v>0</v>
      </c>
      <c r="T769" s="32" t="n">
        <v>1</v>
      </c>
      <c r="U769" s="32" t="n">
        <v>0</v>
      </c>
      <c r="V769" s="32" t="n">
        <v>0</v>
      </c>
      <c r="W769" s="32" t="n">
        <v>0</v>
      </c>
      <c r="X769" s="32" t="n">
        <v>0</v>
      </c>
      <c r="Y769" s="32" t="n">
        <v>0</v>
      </c>
      <c r="Z769" s="32" t="n">
        <v>0</v>
      </c>
      <c r="AA769" s="32" t="n">
        <v>1</v>
      </c>
      <c r="AB769" s="32" t="n">
        <v>0</v>
      </c>
      <c r="AC769" s="30" t="s">
        <v>870</v>
      </c>
      <c r="AD769" s="37" t="n">
        <f aca="false">B769-B768</f>
        <v>0.125</v>
      </c>
    </row>
    <row r="770" customFormat="false" ht="15" hidden="false" customHeight="false" outlineLevel="0" collapsed="false">
      <c r="A770" s="33" t="n">
        <v>767</v>
      </c>
      <c r="B770" s="34" t="n">
        <f aca="false">Summary!$B$5+IF(D770=1,0,IF(C770=1,Summary!$B$6,NA()))+(MATCH(1,E770:L770,0)-1)*Summary!$B$7+(MATCH(1,M770:T770,0)-1)*Summary!$B$8+(MATCH(1,U770:AB770,0)-1)*Summary!$B$9</f>
        <v>125.875</v>
      </c>
      <c r="C770" s="35" t="n">
        <v>1</v>
      </c>
      <c r="D770" s="35" t="n">
        <v>0</v>
      </c>
      <c r="E770" s="35" t="n">
        <v>0</v>
      </c>
      <c r="F770" s="35" t="n">
        <v>0</v>
      </c>
      <c r="G770" s="35" t="n">
        <v>0</v>
      </c>
      <c r="H770" s="35" t="n">
        <v>0</v>
      </c>
      <c r="I770" s="35" t="n">
        <v>0</v>
      </c>
      <c r="J770" s="35" t="n">
        <v>0</v>
      </c>
      <c r="K770" s="35" t="n">
        <v>0</v>
      </c>
      <c r="L770" s="35" t="n">
        <v>1</v>
      </c>
      <c r="M770" s="35" t="n">
        <v>0</v>
      </c>
      <c r="N770" s="35" t="n">
        <v>0</v>
      </c>
      <c r="O770" s="35" t="n">
        <v>0</v>
      </c>
      <c r="P770" s="35" t="n">
        <v>0</v>
      </c>
      <c r="Q770" s="35" t="n">
        <v>0</v>
      </c>
      <c r="R770" s="35" t="n">
        <v>0</v>
      </c>
      <c r="S770" s="35" t="n">
        <v>0</v>
      </c>
      <c r="T770" s="35" t="n">
        <v>1</v>
      </c>
      <c r="U770" s="35" t="n">
        <v>0</v>
      </c>
      <c r="V770" s="35" t="n">
        <v>0</v>
      </c>
      <c r="W770" s="35" t="n">
        <v>0</v>
      </c>
      <c r="X770" s="35" t="n">
        <v>0</v>
      </c>
      <c r="Y770" s="35" t="n">
        <v>0</v>
      </c>
      <c r="Z770" s="35" t="n">
        <v>0</v>
      </c>
      <c r="AA770" s="35" t="n">
        <v>0</v>
      </c>
      <c r="AB770" s="35" t="n">
        <v>1</v>
      </c>
      <c r="AC770" s="33" t="s">
        <v>871</v>
      </c>
      <c r="AD770" s="36" t="n">
        <f aca="false">B770-B769</f>
        <v>0.125</v>
      </c>
    </row>
  </sheetData>
  <conditionalFormatting sqref="C3:AB770">
    <cfRule type="cellIs" priority="2" operator="equal" aboveAverage="0" equalAverage="0" bottom="0" percent="0" rank="0" text="" dxfId="4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2026-09-29T12:33:25Z</dcterms:created>
  <dc:creator>openpyxl</dc:creator>
  <dc:description/>
  <dc:language>en-US</dc:language>
  <cp:lastModifiedBy/>
  <dcterms:modified xsi:type="dcterms:W3CDTF">2026-09-29T12:33:43Z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